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2969D031-EE99-4726-8CD2-390E39391150}" xr6:coauthVersionLast="47" xr6:coauthVersionMax="47" xr10:uidLastSave="{00000000-0000-0000-0000-000000000000}"/>
  <bookViews>
    <workbookView xWindow="-120" yWindow="-120" windowWidth="20730" windowHeight="11160" firstSheet="4" activeTab="9" xr2:uid="{00000000-000D-0000-FFFF-FFFF00000000}"/>
  </bookViews>
  <sheets>
    <sheet name="no 1" sheetId="2" r:id="rId1"/>
    <sheet name="no 2" sheetId="3" r:id="rId2"/>
    <sheet name="no 3" sheetId="4" r:id="rId3"/>
    <sheet name="no 4" sheetId="5" r:id="rId4"/>
    <sheet name="no 5" sheetId="6" r:id="rId5"/>
    <sheet name="no 6" sheetId="7" r:id="rId6"/>
    <sheet name="Sheet1" sheetId="13" r:id="rId7"/>
    <sheet name="Hospital data" sheetId="1" r:id="rId8"/>
    <sheet name="KPI" sheetId="10" r:id="rId9"/>
    <sheet name="Dashboard" sheetId="12" r:id="rId10"/>
  </sheets>
  <definedNames>
    <definedName name="Slicer_Department">#N/A</definedName>
  </definedNames>
  <calcPr calcId="191029"/>
  <customWorkbookViews>
    <customWorkbookView name="Dashboard" guid="{BDCBAC59-900C-4EF0-B76E-C74E8DFB4797}" maximized="1" xWindow="-11" yWindow="-11" windowWidth="1942" windowHeight="1030" activeSheetId="12"/>
  </customWorkbookViews>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7" i="10" l="1"/>
  <c r="F4" i="10"/>
  <c r="A11" i="10"/>
  <c r="B11" i="10"/>
  <c r="B13" i="10"/>
  <c r="A13" i="10"/>
</calcChain>
</file>

<file path=xl/sharedStrings.xml><?xml version="1.0" encoding="utf-8"?>
<sst xmlns="http://schemas.openxmlformats.org/spreadsheetml/2006/main" count="5105" uniqueCount="1071">
  <si>
    <t>Patient_ID</t>
  </si>
  <si>
    <t>Patient_Name</t>
  </si>
  <si>
    <t>Age</t>
  </si>
  <si>
    <t>Gender</t>
  </si>
  <si>
    <t>Department</t>
  </si>
  <si>
    <t>Doctor_Name</t>
  </si>
  <si>
    <t>Admission_Type</t>
  </si>
  <si>
    <t>Admission_Date</t>
  </si>
  <si>
    <t>Discharge_Date</t>
  </si>
  <si>
    <t>Room_Type</t>
  </si>
  <si>
    <t>Length_of_Stay_Days</t>
  </si>
  <si>
    <t>Treatment_Cost</t>
  </si>
  <si>
    <t>Medicine_Cost</t>
  </si>
  <si>
    <t>Lab_Test_Cost</t>
  </si>
  <si>
    <t>Total_Bill</t>
  </si>
  <si>
    <t>Payment_Mode</t>
  </si>
  <si>
    <t>Insurance_Provider</t>
  </si>
  <si>
    <t>Patient_Status</t>
  </si>
  <si>
    <t>P1000</t>
  </si>
  <si>
    <t>Patient_1</t>
  </si>
  <si>
    <t>Female</t>
  </si>
  <si>
    <t>Orthopedics</t>
  </si>
  <si>
    <t>Dr. Patel</t>
  </si>
  <si>
    <t>OPD</t>
  </si>
  <si>
    <t>Semi-Private</t>
  </si>
  <si>
    <t>Card</t>
  </si>
  <si>
    <t>None</t>
  </si>
  <si>
    <t>Deceased</t>
  </si>
  <si>
    <t>P1001</t>
  </si>
  <si>
    <t>Patient_2</t>
  </si>
  <si>
    <t>Gynecology</t>
  </si>
  <si>
    <t>Dr. Singh</t>
  </si>
  <si>
    <t>General</t>
  </si>
  <si>
    <t>ICICI Lombard</t>
  </si>
  <si>
    <t>Under Treatment</t>
  </si>
  <si>
    <t>P1002</t>
  </si>
  <si>
    <t>Patient_3</t>
  </si>
  <si>
    <t>Male</t>
  </si>
  <si>
    <t>Dr. Mehta</t>
  </si>
  <si>
    <t>Referral</t>
  </si>
  <si>
    <t>Private</t>
  </si>
  <si>
    <t>UPI</t>
  </si>
  <si>
    <t>Referred</t>
  </si>
  <si>
    <t>P1003</t>
  </si>
  <si>
    <t>Patient_4</t>
  </si>
  <si>
    <t>Pediatrics</t>
  </si>
  <si>
    <t>Dr. Rao</t>
  </si>
  <si>
    <t>Star Health</t>
  </si>
  <si>
    <t>P1004</t>
  </si>
  <si>
    <t>Patient_5</t>
  </si>
  <si>
    <t>General Medicine</t>
  </si>
  <si>
    <t>Cash</t>
  </si>
  <si>
    <t>P1005</t>
  </si>
  <si>
    <t>Patient_6</t>
  </si>
  <si>
    <t>Neurology</t>
  </si>
  <si>
    <t>P1006</t>
  </si>
  <si>
    <t>Patient_7</t>
  </si>
  <si>
    <t>ICU</t>
  </si>
  <si>
    <t>HDFC Ergo</t>
  </si>
  <si>
    <t>P1007</t>
  </si>
  <si>
    <t>Patient_8</t>
  </si>
  <si>
    <t>P1008</t>
  </si>
  <si>
    <t>Patient_9</t>
  </si>
  <si>
    <t>Insurance</t>
  </si>
  <si>
    <t>P1009</t>
  </si>
  <si>
    <t>Patient_10</t>
  </si>
  <si>
    <t>Dr. Sharma</t>
  </si>
  <si>
    <t>P1010</t>
  </si>
  <si>
    <t>Patient_11</t>
  </si>
  <si>
    <t>Cardiology</t>
  </si>
  <si>
    <t>Recovered</t>
  </si>
  <si>
    <t>P1011</t>
  </si>
  <si>
    <t>Patient_12</t>
  </si>
  <si>
    <t>P1012</t>
  </si>
  <si>
    <t>Patient_13</t>
  </si>
  <si>
    <t>Dr. Iyer</t>
  </si>
  <si>
    <t>P1013</t>
  </si>
  <si>
    <t>Patient_14</t>
  </si>
  <si>
    <t>P1014</t>
  </si>
  <si>
    <t>Patient_15</t>
  </si>
  <si>
    <t>Emergency</t>
  </si>
  <si>
    <t>P1015</t>
  </si>
  <si>
    <t>Patient_16</t>
  </si>
  <si>
    <t>P1016</t>
  </si>
  <si>
    <t>Patient_17</t>
  </si>
  <si>
    <t>P1017</t>
  </si>
  <si>
    <t>Patient_18</t>
  </si>
  <si>
    <t>New India Assurance</t>
  </si>
  <si>
    <t>P1018</t>
  </si>
  <si>
    <t>Patient_19</t>
  </si>
  <si>
    <t>P1019</t>
  </si>
  <si>
    <t>Patient_20</t>
  </si>
  <si>
    <t>P1020</t>
  </si>
  <si>
    <t>Patient_21</t>
  </si>
  <si>
    <t>P1021</t>
  </si>
  <si>
    <t>Patient_22</t>
  </si>
  <si>
    <t>P1022</t>
  </si>
  <si>
    <t>Patient_23</t>
  </si>
  <si>
    <t>P1023</t>
  </si>
  <si>
    <t>Patient_24</t>
  </si>
  <si>
    <t>P1024</t>
  </si>
  <si>
    <t>Patient_25</t>
  </si>
  <si>
    <t>P1025</t>
  </si>
  <si>
    <t>Patient_26</t>
  </si>
  <si>
    <t>P1026</t>
  </si>
  <si>
    <t>Patient_27</t>
  </si>
  <si>
    <t>P1027</t>
  </si>
  <si>
    <t>Patient_28</t>
  </si>
  <si>
    <t>P1028</t>
  </si>
  <si>
    <t>Patient_29</t>
  </si>
  <si>
    <t>P1029</t>
  </si>
  <si>
    <t>Patient_30</t>
  </si>
  <si>
    <t>P1030</t>
  </si>
  <si>
    <t>Patient_31</t>
  </si>
  <si>
    <t>P1031</t>
  </si>
  <si>
    <t>Patient_32</t>
  </si>
  <si>
    <t>P1032</t>
  </si>
  <si>
    <t>Patient_33</t>
  </si>
  <si>
    <t>P1033</t>
  </si>
  <si>
    <t>Patient_34</t>
  </si>
  <si>
    <t>P1034</t>
  </si>
  <si>
    <t>Patient_35</t>
  </si>
  <si>
    <t>P1035</t>
  </si>
  <si>
    <t>Patient_36</t>
  </si>
  <si>
    <t>P1036</t>
  </si>
  <si>
    <t>Patient_37</t>
  </si>
  <si>
    <t>P1037</t>
  </si>
  <si>
    <t>Patient_38</t>
  </si>
  <si>
    <t>P1038</t>
  </si>
  <si>
    <t>Patient_39</t>
  </si>
  <si>
    <t>P1039</t>
  </si>
  <si>
    <t>Patient_40</t>
  </si>
  <si>
    <t>P1040</t>
  </si>
  <si>
    <t>Patient_41</t>
  </si>
  <si>
    <t>P1041</t>
  </si>
  <si>
    <t>Patient_42</t>
  </si>
  <si>
    <t>P1042</t>
  </si>
  <si>
    <t>Patient_43</t>
  </si>
  <si>
    <t>P1043</t>
  </si>
  <si>
    <t>Patient_44</t>
  </si>
  <si>
    <t>P1044</t>
  </si>
  <si>
    <t>Patient_45</t>
  </si>
  <si>
    <t>P1045</t>
  </si>
  <si>
    <t>Patient_46</t>
  </si>
  <si>
    <t>P1046</t>
  </si>
  <si>
    <t>Patient_47</t>
  </si>
  <si>
    <t>P1047</t>
  </si>
  <si>
    <t>Patient_48</t>
  </si>
  <si>
    <t>P1048</t>
  </si>
  <si>
    <t>Patient_49</t>
  </si>
  <si>
    <t>P1049</t>
  </si>
  <si>
    <t>Patient_50</t>
  </si>
  <si>
    <t>P1050</t>
  </si>
  <si>
    <t>Patient_51</t>
  </si>
  <si>
    <t>P1051</t>
  </si>
  <si>
    <t>Patient_52</t>
  </si>
  <si>
    <t>P1052</t>
  </si>
  <si>
    <t>Patient_53</t>
  </si>
  <si>
    <t>P1053</t>
  </si>
  <si>
    <t>Patient_54</t>
  </si>
  <si>
    <t>P1054</t>
  </si>
  <si>
    <t>Patient_55</t>
  </si>
  <si>
    <t>P1055</t>
  </si>
  <si>
    <t>Patient_56</t>
  </si>
  <si>
    <t>P1056</t>
  </si>
  <si>
    <t>Patient_57</t>
  </si>
  <si>
    <t>P1057</t>
  </si>
  <si>
    <t>Patient_58</t>
  </si>
  <si>
    <t>P1058</t>
  </si>
  <si>
    <t>Patient_59</t>
  </si>
  <si>
    <t>P1059</t>
  </si>
  <si>
    <t>Patient_60</t>
  </si>
  <si>
    <t>P1060</t>
  </si>
  <si>
    <t>Patient_61</t>
  </si>
  <si>
    <t>P1061</t>
  </si>
  <si>
    <t>Patient_62</t>
  </si>
  <si>
    <t>P1062</t>
  </si>
  <si>
    <t>Patient_63</t>
  </si>
  <si>
    <t>P1063</t>
  </si>
  <si>
    <t>Patient_64</t>
  </si>
  <si>
    <t>P1064</t>
  </si>
  <si>
    <t>Patient_65</t>
  </si>
  <si>
    <t>P1065</t>
  </si>
  <si>
    <t>Patient_66</t>
  </si>
  <si>
    <t>P1066</t>
  </si>
  <si>
    <t>Patient_67</t>
  </si>
  <si>
    <t>P1067</t>
  </si>
  <si>
    <t>Patient_68</t>
  </si>
  <si>
    <t>P1068</t>
  </si>
  <si>
    <t>Patient_69</t>
  </si>
  <si>
    <t>P1069</t>
  </si>
  <si>
    <t>Patient_70</t>
  </si>
  <si>
    <t>P1070</t>
  </si>
  <si>
    <t>Patient_71</t>
  </si>
  <si>
    <t>P1071</t>
  </si>
  <si>
    <t>Patient_72</t>
  </si>
  <si>
    <t>P1072</t>
  </si>
  <si>
    <t>Patient_73</t>
  </si>
  <si>
    <t>P1073</t>
  </si>
  <si>
    <t>Patient_74</t>
  </si>
  <si>
    <t>P1074</t>
  </si>
  <si>
    <t>Patient_75</t>
  </si>
  <si>
    <t>P1075</t>
  </si>
  <si>
    <t>Patient_76</t>
  </si>
  <si>
    <t>P1076</t>
  </si>
  <si>
    <t>Patient_77</t>
  </si>
  <si>
    <t>P1077</t>
  </si>
  <si>
    <t>Patient_78</t>
  </si>
  <si>
    <t>P1078</t>
  </si>
  <si>
    <t>Patient_79</t>
  </si>
  <si>
    <t>P1079</t>
  </si>
  <si>
    <t>Patient_80</t>
  </si>
  <si>
    <t>P1080</t>
  </si>
  <si>
    <t>Patient_81</t>
  </si>
  <si>
    <t>P1081</t>
  </si>
  <si>
    <t>Patient_82</t>
  </si>
  <si>
    <t>P1082</t>
  </si>
  <si>
    <t>Patient_83</t>
  </si>
  <si>
    <t>P1083</t>
  </si>
  <si>
    <t>Patient_84</t>
  </si>
  <si>
    <t>P1084</t>
  </si>
  <si>
    <t>Patient_85</t>
  </si>
  <si>
    <t>P1085</t>
  </si>
  <si>
    <t>Patient_86</t>
  </si>
  <si>
    <t>P1086</t>
  </si>
  <si>
    <t>Patient_87</t>
  </si>
  <si>
    <t>P1087</t>
  </si>
  <si>
    <t>Patient_88</t>
  </si>
  <si>
    <t>P1088</t>
  </si>
  <si>
    <t>Patient_89</t>
  </si>
  <si>
    <t>P1089</t>
  </si>
  <si>
    <t>Patient_90</t>
  </si>
  <si>
    <t>P1090</t>
  </si>
  <si>
    <t>Patient_91</t>
  </si>
  <si>
    <t>P1091</t>
  </si>
  <si>
    <t>Patient_92</t>
  </si>
  <si>
    <t>P1092</t>
  </si>
  <si>
    <t>Patient_93</t>
  </si>
  <si>
    <t>P1093</t>
  </si>
  <si>
    <t>Patient_94</t>
  </si>
  <si>
    <t>P1094</t>
  </si>
  <si>
    <t>Patient_95</t>
  </si>
  <si>
    <t>P1095</t>
  </si>
  <si>
    <t>Patient_96</t>
  </si>
  <si>
    <t>P1096</t>
  </si>
  <si>
    <t>Patient_97</t>
  </si>
  <si>
    <t>P1097</t>
  </si>
  <si>
    <t>Patient_98</t>
  </si>
  <si>
    <t>P1098</t>
  </si>
  <si>
    <t>Patient_99</t>
  </si>
  <si>
    <t>P1099</t>
  </si>
  <si>
    <t>Patient_100</t>
  </si>
  <si>
    <t>P1100</t>
  </si>
  <si>
    <t>Patient_101</t>
  </si>
  <si>
    <t>P1101</t>
  </si>
  <si>
    <t>Patient_102</t>
  </si>
  <si>
    <t>P1102</t>
  </si>
  <si>
    <t>Patient_103</t>
  </si>
  <si>
    <t>P1103</t>
  </si>
  <si>
    <t>Patient_104</t>
  </si>
  <si>
    <t>P1104</t>
  </si>
  <si>
    <t>Patient_105</t>
  </si>
  <si>
    <t>P1105</t>
  </si>
  <si>
    <t>Patient_106</t>
  </si>
  <si>
    <t>P1106</t>
  </si>
  <si>
    <t>Patient_107</t>
  </si>
  <si>
    <t>P1107</t>
  </si>
  <si>
    <t>Patient_108</t>
  </si>
  <si>
    <t>P1108</t>
  </si>
  <si>
    <t>Patient_109</t>
  </si>
  <si>
    <t>P1109</t>
  </si>
  <si>
    <t>Patient_110</t>
  </si>
  <si>
    <t>P1110</t>
  </si>
  <si>
    <t>Patient_111</t>
  </si>
  <si>
    <t>P1111</t>
  </si>
  <si>
    <t>Patient_112</t>
  </si>
  <si>
    <t>P1112</t>
  </si>
  <si>
    <t>Patient_113</t>
  </si>
  <si>
    <t>P1113</t>
  </si>
  <si>
    <t>Patient_114</t>
  </si>
  <si>
    <t>P1114</t>
  </si>
  <si>
    <t>Patient_115</t>
  </si>
  <si>
    <t>P1115</t>
  </si>
  <si>
    <t>Patient_116</t>
  </si>
  <si>
    <t>P1116</t>
  </si>
  <si>
    <t>Patient_117</t>
  </si>
  <si>
    <t>P1117</t>
  </si>
  <si>
    <t>Patient_118</t>
  </si>
  <si>
    <t>P1118</t>
  </si>
  <si>
    <t>Patient_119</t>
  </si>
  <si>
    <t>P1119</t>
  </si>
  <si>
    <t>Patient_120</t>
  </si>
  <si>
    <t>P1120</t>
  </si>
  <si>
    <t>Patient_121</t>
  </si>
  <si>
    <t>P1121</t>
  </si>
  <si>
    <t>Patient_122</t>
  </si>
  <si>
    <t>P1122</t>
  </si>
  <si>
    <t>Patient_123</t>
  </si>
  <si>
    <t>P1123</t>
  </si>
  <si>
    <t>Patient_124</t>
  </si>
  <si>
    <t>P1124</t>
  </si>
  <si>
    <t>Patient_125</t>
  </si>
  <si>
    <t>P1125</t>
  </si>
  <si>
    <t>Patient_126</t>
  </si>
  <si>
    <t>P1126</t>
  </si>
  <si>
    <t>Patient_127</t>
  </si>
  <si>
    <t>P1127</t>
  </si>
  <si>
    <t>Patient_128</t>
  </si>
  <si>
    <t>P1128</t>
  </si>
  <si>
    <t>Patient_129</t>
  </si>
  <si>
    <t>P1129</t>
  </si>
  <si>
    <t>Patient_130</t>
  </si>
  <si>
    <t>P1130</t>
  </si>
  <si>
    <t>Patient_131</t>
  </si>
  <si>
    <t>P1131</t>
  </si>
  <si>
    <t>Patient_132</t>
  </si>
  <si>
    <t>P1132</t>
  </si>
  <si>
    <t>Patient_133</t>
  </si>
  <si>
    <t>P1133</t>
  </si>
  <si>
    <t>Patient_134</t>
  </si>
  <si>
    <t>P1134</t>
  </si>
  <si>
    <t>Patient_135</t>
  </si>
  <si>
    <t>P1135</t>
  </si>
  <si>
    <t>Patient_136</t>
  </si>
  <si>
    <t>P1136</t>
  </si>
  <si>
    <t>Patient_137</t>
  </si>
  <si>
    <t>P1137</t>
  </si>
  <si>
    <t>Patient_138</t>
  </si>
  <si>
    <t>P1138</t>
  </si>
  <si>
    <t>Patient_139</t>
  </si>
  <si>
    <t>P1139</t>
  </si>
  <si>
    <t>Patient_140</t>
  </si>
  <si>
    <t>P1140</t>
  </si>
  <si>
    <t>Patient_141</t>
  </si>
  <si>
    <t>P1141</t>
  </si>
  <si>
    <t>Patient_142</t>
  </si>
  <si>
    <t>P1142</t>
  </si>
  <si>
    <t>Patient_143</t>
  </si>
  <si>
    <t>P1143</t>
  </si>
  <si>
    <t>Patient_144</t>
  </si>
  <si>
    <t>P1144</t>
  </si>
  <si>
    <t>Patient_145</t>
  </si>
  <si>
    <t>P1145</t>
  </si>
  <si>
    <t>Patient_146</t>
  </si>
  <si>
    <t>P1146</t>
  </si>
  <si>
    <t>Patient_147</t>
  </si>
  <si>
    <t>P1147</t>
  </si>
  <si>
    <t>Patient_148</t>
  </si>
  <si>
    <t>P1148</t>
  </si>
  <si>
    <t>Patient_149</t>
  </si>
  <si>
    <t>P1149</t>
  </si>
  <si>
    <t>Patient_150</t>
  </si>
  <si>
    <t>P1150</t>
  </si>
  <si>
    <t>Patient_151</t>
  </si>
  <si>
    <t>P1151</t>
  </si>
  <si>
    <t>Patient_152</t>
  </si>
  <si>
    <t>P1152</t>
  </si>
  <si>
    <t>Patient_153</t>
  </si>
  <si>
    <t>P1153</t>
  </si>
  <si>
    <t>Patient_154</t>
  </si>
  <si>
    <t>P1154</t>
  </si>
  <si>
    <t>Patient_155</t>
  </si>
  <si>
    <t>P1155</t>
  </si>
  <si>
    <t>Patient_156</t>
  </si>
  <si>
    <t>P1156</t>
  </si>
  <si>
    <t>Patient_157</t>
  </si>
  <si>
    <t>P1157</t>
  </si>
  <si>
    <t>Patient_158</t>
  </si>
  <si>
    <t>P1158</t>
  </si>
  <si>
    <t>Patient_159</t>
  </si>
  <si>
    <t>P1159</t>
  </si>
  <si>
    <t>Patient_160</t>
  </si>
  <si>
    <t>P1160</t>
  </si>
  <si>
    <t>Patient_161</t>
  </si>
  <si>
    <t>P1161</t>
  </si>
  <si>
    <t>Patient_162</t>
  </si>
  <si>
    <t>P1162</t>
  </si>
  <si>
    <t>Patient_163</t>
  </si>
  <si>
    <t>P1163</t>
  </si>
  <si>
    <t>Patient_164</t>
  </si>
  <si>
    <t>P1164</t>
  </si>
  <si>
    <t>Patient_165</t>
  </si>
  <si>
    <t>P1165</t>
  </si>
  <si>
    <t>Patient_166</t>
  </si>
  <si>
    <t>P1166</t>
  </si>
  <si>
    <t>Patient_167</t>
  </si>
  <si>
    <t>P1167</t>
  </si>
  <si>
    <t>Patient_168</t>
  </si>
  <si>
    <t>P1168</t>
  </si>
  <si>
    <t>Patient_169</t>
  </si>
  <si>
    <t>P1169</t>
  </si>
  <si>
    <t>Patient_170</t>
  </si>
  <si>
    <t>P1170</t>
  </si>
  <si>
    <t>Patient_171</t>
  </si>
  <si>
    <t>P1171</t>
  </si>
  <si>
    <t>Patient_172</t>
  </si>
  <si>
    <t>P1172</t>
  </si>
  <si>
    <t>Patient_173</t>
  </si>
  <si>
    <t>P1173</t>
  </si>
  <si>
    <t>Patient_174</t>
  </si>
  <si>
    <t>P1174</t>
  </si>
  <si>
    <t>Patient_175</t>
  </si>
  <si>
    <t>P1175</t>
  </si>
  <si>
    <t>Patient_176</t>
  </si>
  <si>
    <t>P1176</t>
  </si>
  <si>
    <t>Patient_177</t>
  </si>
  <si>
    <t>P1177</t>
  </si>
  <si>
    <t>Patient_178</t>
  </si>
  <si>
    <t>P1178</t>
  </si>
  <si>
    <t>Patient_179</t>
  </si>
  <si>
    <t>P1179</t>
  </si>
  <si>
    <t>Patient_180</t>
  </si>
  <si>
    <t>P1180</t>
  </si>
  <si>
    <t>Patient_181</t>
  </si>
  <si>
    <t>P1181</t>
  </si>
  <si>
    <t>Patient_182</t>
  </si>
  <si>
    <t>P1182</t>
  </si>
  <si>
    <t>Patient_183</t>
  </si>
  <si>
    <t>P1183</t>
  </si>
  <si>
    <t>Patient_184</t>
  </si>
  <si>
    <t>P1184</t>
  </si>
  <si>
    <t>Patient_185</t>
  </si>
  <si>
    <t>P1185</t>
  </si>
  <si>
    <t>Patient_186</t>
  </si>
  <si>
    <t>P1186</t>
  </si>
  <si>
    <t>Patient_187</t>
  </si>
  <si>
    <t>P1187</t>
  </si>
  <si>
    <t>Patient_188</t>
  </si>
  <si>
    <t>P1188</t>
  </si>
  <si>
    <t>Patient_189</t>
  </si>
  <si>
    <t>P1189</t>
  </si>
  <si>
    <t>Patient_190</t>
  </si>
  <si>
    <t>P1190</t>
  </si>
  <si>
    <t>Patient_191</t>
  </si>
  <si>
    <t>P1191</t>
  </si>
  <si>
    <t>Patient_192</t>
  </si>
  <si>
    <t>P1192</t>
  </si>
  <si>
    <t>Patient_193</t>
  </si>
  <si>
    <t>P1193</t>
  </si>
  <si>
    <t>Patient_194</t>
  </si>
  <si>
    <t>P1194</t>
  </si>
  <si>
    <t>Patient_195</t>
  </si>
  <si>
    <t>P1195</t>
  </si>
  <si>
    <t>Patient_196</t>
  </si>
  <si>
    <t>P1196</t>
  </si>
  <si>
    <t>Patient_197</t>
  </si>
  <si>
    <t>P1197</t>
  </si>
  <si>
    <t>Patient_198</t>
  </si>
  <si>
    <t>P1198</t>
  </si>
  <si>
    <t>Patient_199</t>
  </si>
  <si>
    <t>P1199</t>
  </si>
  <si>
    <t>Patient_200</t>
  </si>
  <si>
    <t>P1200</t>
  </si>
  <si>
    <t>Patient_201</t>
  </si>
  <si>
    <t>P1201</t>
  </si>
  <si>
    <t>Patient_202</t>
  </si>
  <si>
    <t>P1202</t>
  </si>
  <si>
    <t>Patient_203</t>
  </si>
  <si>
    <t>P1203</t>
  </si>
  <si>
    <t>Patient_204</t>
  </si>
  <si>
    <t>P1204</t>
  </si>
  <si>
    <t>Patient_205</t>
  </si>
  <si>
    <t>P1205</t>
  </si>
  <si>
    <t>Patient_206</t>
  </si>
  <si>
    <t>P1206</t>
  </si>
  <si>
    <t>Patient_207</t>
  </si>
  <si>
    <t>P1207</t>
  </si>
  <si>
    <t>Patient_208</t>
  </si>
  <si>
    <t>P1208</t>
  </si>
  <si>
    <t>Patient_209</t>
  </si>
  <si>
    <t>P1209</t>
  </si>
  <si>
    <t>Patient_210</t>
  </si>
  <si>
    <t>P1210</t>
  </si>
  <si>
    <t>Patient_211</t>
  </si>
  <si>
    <t>P1211</t>
  </si>
  <si>
    <t>Patient_212</t>
  </si>
  <si>
    <t>P1212</t>
  </si>
  <si>
    <t>Patient_213</t>
  </si>
  <si>
    <t>P1213</t>
  </si>
  <si>
    <t>Patient_214</t>
  </si>
  <si>
    <t>P1214</t>
  </si>
  <si>
    <t>Patient_215</t>
  </si>
  <si>
    <t>P1215</t>
  </si>
  <si>
    <t>Patient_216</t>
  </si>
  <si>
    <t>P1216</t>
  </si>
  <si>
    <t>Patient_217</t>
  </si>
  <si>
    <t>P1217</t>
  </si>
  <si>
    <t>Patient_218</t>
  </si>
  <si>
    <t>P1218</t>
  </si>
  <si>
    <t>Patient_219</t>
  </si>
  <si>
    <t>P1219</t>
  </si>
  <si>
    <t>Patient_220</t>
  </si>
  <si>
    <t>P1220</t>
  </si>
  <si>
    <t>Patient_221</t>
  </si>
  <si>
    <t>P1221</t>
  </si>
  <si>
    <t>Patient_222</t>
  </si>
  <si>
    <t>P1222</t>
  </si>
  <si>
    <t>Patient_223</t>
  </si>
  <si>
    <t>P1223</t>
  </si>
  <si>
    <t>Patient_224</t>
  </si>
  <si>
    <t>P1224</t>
  </si>
  <si>
    <t>Patient_225</t>
  </si>
  <si>
    <t>P1225</t>
  </si>
  <si>
    <t>Patient_226</t>
  </si>
  <si>
    <t>P1226</t>
  </si>
  <si>
    <t>Patient_227</t>
  </si>
  <si>
    <t>P1227</t>
  </si>
  <si>
    <t>Patient_228</t>
  </si>
  <si>
    <t>P1228</t>
  </si>
  <si>
    <t>Patient_229</t>
  </si>
  <si>
    <t>P1229</t>
  </si>
  <si>
    <t>Patient_230</t>
  </si>
  <si>
    <t>P1230</t>
  </si>
  <si>
    <t>Patient_231</t>
  </si>
  <si>
    <t>P1231</t>
  </si>
  <si>
    <t>Patient_232</t>
  </si>
  <si>
    <t>P1232</t>
  </si>
  <si>
    <t>Patient_233</t>
  </si>
  <si>
    <t>P1233</t>
  </si>
  <si>
    <t>Patient_234</t>
  </si>
  <si>
    <t>P1234</t>
  </si>
  <si>
    <t>Patient_235</t>
  </si>
  <si>
    <t>P1235</t>
  </si>
  <si>
    <t>Patient_236</t>
  </si>
  <si>
    <t>P1236</t>
  </si>
  <si>
    <t>Patient_237</t>
  </si>
  <si>
    <t>P1237</t>
  </si>
  <si>
    <t>Patient_238</t>
  </si>
  <si>
    <t>P1238</t>
  </si>
  <si>
    <t>Patient_239</t>
  </si>
  <si>
    <t>P1239</t>
  </si>
  <si>
    <t>Patient_240</t>
  </si>
  <si>
    <t>P1240</t>
  </si>
  <si>
    <t>Patient_241</t>
  </si>
  <si>
    <t>P1241</t>
  </si>
  <si>
    <t>Patient_242</t>
  </si>
  <si>
    <t>P1242</t>
  </si>
  <si>
    <t>Patient_243</t>
  </si>
  <si>
    <t>P1243</t>
  </si>
  <si>
    <t>Patient_244</t>
  </si>
  <si>
    <t>P1244</t>
  </si>
  <si>
    <t>Patient_245</t>
  </si>
  <si>
    <t>P1245</t>
  </si>
  <si>
    <t>Patient_246</t>
  </si>
  <si>
    <t>P1246</t>
  </si>
  <si>
    <t>Patient_247</t>
  </si>
  <si>
    <t>P1247</t>
  </si>
  <si>
    <t>Patient_248</t>
  </si>
  <si>
    <t>P1248</t>
  </si>
  <si>
    <t>Patient_249</t>
  </si>
  <si>
    <t>P1249</t>
  </si>
  <si>
    <t>Patient_250</t>
  </si>
  <si>
    <t>P1250</t>
  </si>
  <si>
    <t>Patient_251</t>
  </si>
  <si>
    <t>P1251</t>
  </si>
  <si>
    <t>Patient_252</t>
  </si>
  <si>
    <t>P1252</t>
  </si>
  <si>
    <t>Patient_253</t>
  </si>
  <si>
    <t>P1253</t>
  </si>
  <si>
    <t>Patient_254</t>
  </si>
  <si>
    <t>P1254</t>
  </si>
  <si>
    <t>Patient_255</t>
  </si>
  <si>
    <t>P1255</t>
  </si>
  <si>
    <t>Patient_256</t>
  </si>
  <si>
    <t>P1256</t>
  </si>
  <si>
    <t>Patient_257</t>
  </si>
  <si>
    <t>P1257</t>
  </si>
  <si>
    <t>Patient_258</t>
  </si>
  <si>
    <t>P1258</t>
  </si>
  <si>
    <t>Patient_259</t>
  </si>
  <si>
    <t>P1259</t>
  </si>
  <si>
    <t>Patient_260</t>
  </si>
  <si>
    <t>P1260</t>
  </si>
  <si>
    <t>Patient_261</t>
  </si>
  <si>
    <t>P1261</t>
  </si>
  <si>
    <t>Patient_262</t>
  </si>
  <si>
    <t>P1262</t>
  </si>
  <si>
    <t>Patient_263</t>
  </si>
  <si>
    <t>P1263</t>
  </si>
  <si>
    <t>Patient_264</t>
  </si>
  <si>
    <t>P1264</t>
  </si>
  <si>
    <t>Patient_265</t>
  </si>
  <si>
    <t>P1265</t>
  </si>
  <si>
    <t>Patient_266</t>
  </si>
  <si>
    <t>P1266</t>
  </si>
  <si>
    <t>Patient_267</t>
  </si>
  <si>
    <t>P1267</t>
  </si>
  <si>
    <t>Patient_268</t>
  </si>
  <si>
    <t>P1268</t>
  </si>
  <si>
    <t>Patient_269</t>
  </si>
  <si>
    <t>P1269</t>
  </si>
  <si>
    <t>Patient_270</t>
  </si>
  <si>
    <t>P1270</t>
  </si>
  <si>
    <t>Patient_271</t>
  </si>
  <si>
    <t>P1271</t>
  </si>
  <si>
    <t>Patient_272</t>
  </si>
  <si>
    <t>P1272</t>
  </si>
  <si>
    <t>Patient_273</t>
  </si>
  <si>
    <t>P1273</t>
  </si>
  <si>
    <t>Patient_274</t>
  </si>
  <si>
    <t>P1274</t>
  </si>
  <si>
    <t>Patient_275</t>
  </si>
  <si>
    <t>P1275</t>
  </si>
  <si>
    <t>Patient_276</t>
  </si>
  <si>
    <t>P1276</t>
  </si>
  <si>
    <t>Patient_277</t>
  </si>
  <si>
    <t>P1277</t>
  </si>
  <si>
    <t>Patient_278</t>
  </si>
  <si>
    <t>P1278</t>
  </si>
  <si>
    <t>Patient_279</t>
  </si>
  <si>
    <t>P1279</t>
  </si>
  <si>
    <t>Patient_280</t>
  </si>
  <si>
    <t>P1280</t>
  </si>
  <si>
    <t>Patient_281</t>
  </si>
  <si>
    <t>P1281</t>
  </si>
  <si>
    <t>Patient_282</t>
  </si>
  <si>
    <t>P1282</t>
  </si>
  <si>
    <t>Patient_283</t>
  </si>
  <si>
    <t>P1283</t>
  </si>
  <si>
    <t>Patient_284</t>
  </si>
  <si>
    <t>P1284</t>
  </si>
  <si>
    <t>Patient_285</t>
  </si>
  <si>
    <t>P1285</t>
  </si>
  <si>
    <t>Patient_286</t>
  </si>
  <si>
    <t>P1286</t>
  </si>
  <si>
    <t>Patient_287</t>
  </si>
  <si>
    <t>P1287</t>
  </si>
  <si>
    <t>Patient_288</t>
  </si>
  <si>
    <t>P1288</t>
  </si>
  <si>
    <t>Patient_289</t>
  </si>
  <si>
    <t>P1289</t>
  </si>
  <si>
    <t>Patient_290</t>
  </si>
  <si>
    <t>P1290</t>
  </si>
  <si>
    <t>Patient_291</t>
  </si>
  <si>
    <t>P1291</t>
  </si>
  <si>
    <t>Patient_292</t>
  </si>
  <si>
    <t>P1292</t>
  </si>
  <si>
    <t>Patient_293</t>
  </si>
  <si>
    <t>P1293</t>
  </si>
  <si>
    <t>Patient_294</t>
  </si>
  <si>
    <t>P1294</t>
  </si>
  <si>
    <t>Patient_295</t>
  </si>
  <si>
    <t>P1295</t>
  </si>
  <si>
    <t>Patient_296</t>
  </si>
  <si>
    <t>P1296</t>
  </si>
  <si>
    <t>Patient_297</t>
  </si>
  <si>
    <t>P1297</t>
  </si>
  <si>
    <t>Patient_298</t>
  </si>
  <si>
    <t>P1298</t>
  </si>
  <si>
    <t>Patient_299</t>
  </si>
  <si>
    <t>P1299</t>
  </si>
  <si>
    <t>Patient_300</t>
  </si>
  <si>
    <t>P1300</t>
  </si>
  <si>
    <t>Patient_301</t>
  </si>
  <si>
    <t>P1301</t>
  </si>
  <si>
    <t>Patient_302</t>
  </si>
  <si>
    <t>P1302</t>
  </si>
  <si>
    <t>Patient_303</t>
  </si>
  <si>
    <t>P1303</t>
  </si>
  <si>
    <t>Patient_304</t>
  </si>
  <si>
    <t>P1304</t>
  </si>
  <si>
    <t>Patient_305</t>
  </si>
  <si>
    <t>P1305</t>
  </si>
  <si>
    <t>Patient_306</t>
  </si>
  <si>
    <t>P1306</t>
  </si>
  <si>
    <t>Patient_307</t>
  </si>
  <si>
    <t>P1307</t>
  </si>
  <si>
    <t>Patient_308</t>
  </si>
  <si>
    <t>P1308</t>
  </si>
  <si>
    <t>Patient_309</t>
  </si>
  <si>
    <t>P1309</t>
  </si>
  <si>
    <t>Patient_310</t>
  </si>
  <si>
    <t>P1310</t>
  </si>
  <si>
    <t>Patient_311</t>
  </si>
  <si>
    <t>P1311</t>
  </si>
  <si>
    <t>Patient_312</t>
  </si>
  <si>
    <t>P1312</t>
  </si>
  <si>
    <t>Patient_313</t>
  </si>
  <si>
    <t>P1313</t>
  </si>
  <si>
    <t>Patient_314</t>
  </si>
  <si>
    <t>P1314</t>
  </si>
  <si>
    <t>Patient_315</t>
  </si>
  <si>
    <t>P1315</t>
  </si>
  <si>
    <t>Patient_316</t>
  </si>
  <si>
    <t>P1316</t>
  </si>
  <si>
    <t>Patient_317</t>
  </si>
  <si>
    <t>P1317</t>
  </si>
  <si>
    <t>Patient_318</t>
  </si>
  <si>
    <t>P1318</t>
  </si>
  <si>
    <t>Patient_319</t>
  </si>
  <si>
    <t>P1319</t>
  </si>
  <si>
    <t>Patient_320</t>
  </si>
  <si>
    <t>P1320</t>
  </si>
  <si>
    <t>Patient_321</t>
  </si>
  <si>
    <t>P1321</t>
  </si>
  <si>
    <t>Patient_322</t>
  </si>
  <si>
    <t>P1322</t>
  </si>
  <si>
    <t>Patient_323</t>
  </si>
  <si>
    <t>P1323</t>
  </si>
  <si>
    <t>Patient_324</t>
  </si>
  <si>
    <t>P1324</t>
  </si>
  <si>
    <t>Patient_325</t>
  </si>
  <si>
    <t>P1325</t>
  </si>
  <si>
    <t>Patient_326</t>
  </si>
  <si>
    <t>P1326</t>
  </si>
  <si>
    <t>Patient_327</t>
  </si>
  <si>
    <t>P1327</t>
  </si>
  <si>
    <t>Patient_328</t>
  </si>
  <si>
    <t>P1328</t>
  </si>
  <si>
    <t>Patient_329</t>
  </si>
  <si>
    <t>P1329</t>
  </si>
  <si>
    <t>Patient_330</t>
  </si>
  <si>
    <t>P1330</t>
  </si>
  <si>
    <t>Patient_331</t>
  </si>
  <si>
    <t>P1331</t>
  </si>
  <si>
    <t>Patient_332</t>
  </si>
  <si>
    <t>P1332</t>
  </si>
  <si>
    <t>Patient_333</t>
  </si>
  <si>
    <t>P1333</t>
  </si>
  <si>
    <t>Patient_334</t>
  </si>
  <si>
    <t>P1334</t>
  </si>
  <si>
    <t>Patient_335</t>
  </si>
  <si>
    <t>P1335</t>
  </si>
  <si>
    <t>Patient_336</t>
  </si>
  <si>
    <t>P1336</t>
  </si>
  <si>
    <t>Patient_337</t>
  </si>
  <si>
    <t>P1337</t>
  </si>
  <si>
    <t>Patient_338</t>
  </si>
  <si>
    <t>P1338</t>
  </si>
  <si>
    <t>Patient_339</t>
  </si>
  <si>
    <t>P1339</t>
  </si>
  <si>
    <t>Patient_340</t>
  </si>
  <si>
    <t>P1340</t>
  </si>
  <si>
    <t>Patient_341</t>
  </si>
  <si>
    <t>P1341</t>
  </si>
  <si>
    <t>Patient_342</t>
  </si>
  <si>
    <t>P1342</t>
  </si>
  <si>
    <t>Patient_343</t>
  </si>
  <si>
    <t>P1343</t>
  </si>
  <si>
    <t>Patient_344</t>
  </si>
  <si>
    <t>P1344</t>
  </si>
  <si>
    <t>Patient_345</t>
  </si>
  <si>
    <t>P1345</t>
  </si>
  <si>
    <t>Patient_346</t>
  </si>
  <si>
    <t>P1346</t>
  </si>
  <si>
    <t>Patient_347</t>
  </si>
  <si>
    <t>P1347</t>
  </si>
  <si>
    <t>Patient_348</t>
  </si>
  <si>
    <t>P1348</t>
  </si>
  <si>
    <t>Patient_349</t>
  </si>
  <si>
    <t>P1349</t>
  </si>
  <si>
    <t>Patient_350</t>
  </si>
  <si>
    <t>P1350</t>
  </si>
  <si>
    <t>Patient_351</t>
  </si>
  <si>
    <t>P1351</t>
  </si>
  <si>
    <t>Patient_352</t>
  </si>
  <si>
    <t>P1352</t>
  </si>
  <si>
    <t>Patient_353</t>
  </si>
  <si>
    <t>P1353</t>
  </si>
  <si>
    <t>Patient_354</t>
  </si>
  <si>
    <t>P1354</t>
  </si>
  <si>
    <t>Patient_355</t>
  </si>
  <si>
    <t>P1355</t>
  </si>
  <si>
    <t>Patient_356</t>
  </si>
  <si>
    <t>P1356</t>
  </si>
  <si>
    <t>Patient_357</t>
  </si>
  <si>
    <t>P1357</t>
  </si>
  <si>
    <t>Patient_358</t>
  </si>
  <si>
    <t>P1358</t>
  </si>
  <si>
    <t>Patient_359</t>
  </si>
  <si>
    <t>P1359</t>
  </si>
  <si>
    <t>Patient_360</t>
  </si>
  <si>
    <t>P1360</t>
  </si>
  <si>
    <t>Patient_361</t>
  </si>
  <si>
    <t>P1361</t>
  </si>
  <si>
    <t>Patient_362</t>
  </si>
  <si>
    <t>P1362</t>
  </si>
  <si>
    <t>Patient_363</t>
  </si>
  <si>
    <t>P1363</t>
  </si>
  <si>
    <t>Patient_364</t>
  </si>
  <si>
    <t>P1364</t>
  </si>
  <si>
    <t>Patient_365</t>
  </si>
  <si>
    <t>P1365</t>
  </si>
  <si>
    <t>Patient_366</t>
  </si>
  <si>
    <t>P1366</t>
  </si>
  <si>
    <t>Patient_367</t>
  </si>
  <si>
    <t>P1367</t>
  </si>
  <si>
    <t>Patient_368</t>
  </si>
  <si>
    <t>P1368</t>
  </si>
  <si>
    <t>Patient_369</t>
  </si>
  <si>
    <t>P1369</t>
  </si>
  <si>
    <t>Patient_370</t>
  </si>
  <si>
    <t>P1370</t>
  </si>
  <si>
    <t>Patient_371</t>
  </si>
  <si>
    <t>P1371</t>
  </si>
  <si>
    <t>Patient_372</t>
  </si>
  <si>
    <t>P1372</t>
  </si>
  <si>
    <t>Patient_373</t>
  </si>
  <si>
    <t>P1373</t>
  </si>
  <si>
    <t>Patient_374</t>
  </si>
  <si>
    <t>P1374</t>
  </si>
  <si>
    <t>Patient_375</t>
  </si>
  <si>
    <t>P1375</t>
  </si>
  <si>
    <t>Patient_376</t>
  </si>
  <si>
    <t>P1376</t>
  </si>
  <si>
    <t>Patient_377</t>
  </si>
  <si>
    <t>P1377</t>
  </si>
  <si>
    <t>Patient_378</t>
  </si>
  <si>
    <t>P1378</t>
  </si>
  <si>
    <t>Patient_379</t>
  </si>
  <si>
    <t>P1379</t>
  </si>
  <si>
    <t>Patient_380</t>
  </si>
  <si>
    <t>P1380</t>
  </si>
  <si>
    <t>Patient_381</t>
  </si>
  <si>
    <t>P1381</t>
  </si>
  <si>
    <t>Patient_382</t>
  </si>
  <si>
    <t>P1382</t>
  </si>
  <si>
    <t>Patient_383</t>
  </si>
  <si>
    <t>P1383</t>
  </si>
  <si>
    <t>Patient_384</t>
  </si>
  <si>
    <t>P1384</t>
  </si>
  <si>
    <t>Patient_385</t>
  </si>
  <si>
    <t>P1385</t>
  </si>
  <si>
    <t>Patient_386</t>
  </si>
  <si>
    <t>P1386</t>
  </si>
  <si>
    <t>Patient_387</t>
  </si>
  <si>
    <t>P1387</t>
  </si>
  <si>
    <t>Patient_388</t>
  </si>
  <si>
    <t>P1388</t>
  </si>
  <si>
    <t>Patient_389</t>
  </si>
  <si>
    <t>P1389</t>
  </si>
  <si>
    <t>Patient_390</t>
  </si>
  <si>
    <t>P1390</t>
  </si>
  <si>
    <t>Patient_391</t>
  </si>
  <si>
    <t>P1391</t>
  </si>
  <si>
    <t>Patient_392</t>
  </si>
  <si>
    <t>P1392</t>
  </si>
  <si>
    <t>Patient_393</t>
  </si>
  <si>
    <t>P1393</t>
  </si>
  <si>
    <t>Patient_394</t>
  </si>
  <si>
    <t>P1394</t>
  </si>
  <si>
    <t>Patient_395</t>
  </si>
  <si>
    <t>P1395</t>
  </si>
  <si>
    <t>Patient_396</t>
  </si>
  <si>
    <t>P1396</t>
  </si>
  <si>
    <t>Patient_397</t>
  </si>
  <si>
    <t>P1397</t>
  </si>
  <si>
    <t>Patient_398</t>
  </si>
  <si>
    <t>P1398</t>
  </si>
  <si>
    <t>Patient_399</t>
  </si>
  <si>
    <t>P1399</t>
  </si>
  <si>
    <t>Patient_400</t>
  </si>
  <si>
    <t>P1400</t>
  </si>
  <si>
    <t>Patient_401</t>
  </si>
  <si>
    <t>P1401</t>
  </si>
  <si>
    <t>Patient_402</t>
  </si>
  <si>
    <t>P1402</t>
  </si>
  <si>
    <t>Patient_403</t>
  </si>
  <si>
    <t>P1403</t>
  </si>
  <si>
    <t>Patient_404</t>
  </si>
  <si>
    <t>P1404</t>
  </si>
  <si>
    <t>Patient_405</t>
  </si>
  <si>
    <t>P1405</t>
  </si>
  <si>
    <t>Patient_406</t>
  </si>
  <si>
    <t>P1406</t>
  </si>
  <si>
    <t>Patient_407</t>
  </si>
  <si>
    <t>P1407</t>
  </si>
  <si>
    <t>Patient_408</t>
  </si>
  <si>
    <t>P1408</t>
  </si>
  <si>
    <t>Patient_409</t>
  </si>
  <si>
    <t>P1409</t>
  </si>
  <si>
    <t>Patient_410</t>
  </si>
  <si>
    <t>P1410</t>
  </si>
  <si>
    <t>Patient_411</t>
  </si>
  <si>
    <t>P1411</t>
  </si>
  <si>
    <t>Patient_412</t>
  </si>
  <si>
    <t>P1412</t>
  </si>
  <si>
    <t>Patient_413</t>
  </si>
  <si>
    <t>P1413</t>
  </si>
  <si>
    <t>Patient_414</t>
  </si>
  <si>
    <t>P1414</t>
  </si>
  <si>
    <t>Patient_415</t>
  </si>
  <si>
    <t>P1415</t>
  </si>
  <si>
    <t>Patient_416</t>
  </si>
  <si>
    <t>P1416</t>
  </si>
  <si>
    <t>Patient_417</t>
  </si>
  <si>
    <t>P1417</t>
  </si>
  <si>
    <t>Patient_418</t>
  </si>
  <si>
    <t>P1418</t>
  </si>
  <si>
    <t>Patient_419</t>
  </si>
  <si>
    <t>P1419</t>
  </si>
  <si>
    <t>Patient_420</t>
  </si>
  <si>
    <t>P1420</t>
  </si>
  <si>
    <t>Patient_421</t>
  </si>
  <si>
    <t>P1421</t>
  </si>
  <si>
    <t>Patient_422</t>
  </si>
  <si>
    <t>P1422</t>
  </si>
  <si>
    <t>Patient_423</t>
  </si>
  <si>
    <t>P1423</t>
  </si>
  <si>
    <t>Patient_424</t>
  </si>
  <si>
    <t>P1424</t>
  </si>
  <si>
    <t>Patient_425</t>
  </si>
  <si>
    <t>P1425</t>
  </si>
  <si>
    <t>Patient_426</t>
  </si>
  <si>
    <t>P1426</t>
  </si>
  <si>
    <t>Patient_427</t>
  </si>
  <si>
    <t>P1427</t>
  </si>
  <si>
    <t>Patient_428</t>
  </si>
  <si>
    <t>P1428</t>
  </si>
  <si>
    <t>Patient_429</t>
  </si>
  <si>
    <t>P1429</t>
  </si>
  <si>
    <t>Patient_430</t>
  </si>
  <si>
    <t>P1430</t>
  </si>
  <si>
    <t>Patient_431</t>
  </si>
  <si>
    <t>P1431</t>
  </si>
  <si>
    <t>Patient_432</t>
  </si>
  <si>
    <t>P1432</t>
  </si>
  <si>
    <t>Patient_433</t>
  </si>
  <si>
    <t>P1433</t>
  </si>
  <si>
    <t>Patient_434</t>
  </si>
  <si>
    <t>P1434</t>
  </si>
  <si>
    <t>Patient_435</t>
  </si>
  <si>
    <t>P1435</t>
  </si>
  <si>
    <t>Patient_436</t>
  </si>
  <si>
    <t>P1436</t>
  </si>
  <si>
    <t>Patient_437</t>
  </si>
  <si>
    <t>P1437</t>
  </si>
  <si>
    <t>Patient_438</t>
  </si>
  <si>
    <t>P1438</t>
  </si>
  <si>
    <t>Patient_439</t>
  </si>
  <si>
    <t>P1439</t>
  </si>
  <si>
    <t>Patient_440</t>
  </si>
  <si>
    <t>P1440</t>
  </si>
  <si>
    <t>Patient_441</t>
  </si>
  <si>
    <t>P1441</t>
  </si>
  <si>
    <t>Patient_442</t>
  </si>
  <si>
    <t>P1442</t>
  </si>
  <si>
    <t>Patient_443</t>
  </si>
  <si>
    <t>P1443</t>
  </si>
  <si>
    <t>Patient_444</t>
  </si>
  <si>
    <t>P1444</t>
  </si>
  <si>
    <t>Patient_445</t>
  </si>
  <si>
    <t>P1445</t>
  </si>
  <si>
    <t>Patient_446</t>
  </si>
  <si>
    <t>P1446</t>
  </si>
  <si>
    <t>Patient_447</t>
  </si>
  <si>
    <t>P1447</t>
  </si>
  <si>
    <t>Patient_448</t>
  </si>
  <si>
    <t>P1448</t>
  </si>
  <si>
    <t>Patient_449</t>
  </si>
  <si>
    <t>P1449</t>
  </si>
  <si>
    <t>Patient_450</t>
  </si>
  <si>
    <t>P1450</t>
  </si>
  <si>
    <t>Patient_451</t>
  </si>
  <si>
    <t>P1451</t>
  </si>
  <si>
    <t>Patient_452</t>
  </si>
  <si>
    <t>P1452</t>
  </si>
  <si>
    <t>Patient_453</t>
  </si>
  <si>
    <t>P1453</t>
  </si>
  <si>
    <t>Patient_454</t>
  </si>
  <si>
    <t>P1454</t>
  </si>
  <si>
    <t>Patient_455</t>
  </si>
  <si>
    <t>P1455</t>
  </si>
  <si>
    <t>Patient_456</t>
  </si>
  <si>
    <t>P1456</t>
  </si>
  <si>
    <t>Patient_457</t>
  </si>
  <si>
    <t>P1457</t>
  </si>
  <si>
    <t>Patient_458</t>
  </si>
  <si>
    <t>P1458</t>
  </si>
  <si>
    <t>Patient_459</t>
  </si>
  <si>
    <t>P1459</t>
  </si>
  <si>
    <t>Patient_460</t>
  </si>
  <si>
    <t>P1460</t>
  </si>
  <si>
    <t>Patient_461</t>
  </si>
  <si>
    <t>P1461</t>
  </si>
  <si>
    <t>Patient_462</t>
  </si>
  <si>
    <t>P1462</t>
  </si>
  <si>
    <t>Patient_463</t>
  </si>
  <si>
    <t>P1463</t>
  </si>
  <si>
    <t>Patient_464</t>
  </si>
  <si>
    <t>P1464</t>
  </si>
  <si>
    <t>Patient_465</t>
  </si>
  <si>
    <t>P1465</t>
  </si>
  <si>
    <t>Patient_466</t>
  </si>
  <si>
    <t>P1466</t>
  </si>
  <si>
    <t>Patient_467</t>
  </si>
  <si>
    <t>P1467</t>
  </si>
  <si>
    <t>Patient_468</t>
  </si>
  <si>
    <t>P1468</t>
  </si>
  <si>
    <t>Patient_469</t>
  </si>
  <si>
    <t>P1469</t>
  </si>
  <si>
    <t>Patient_470</t>
  </si>
  <si>
    <t>P1470</t>
  </si>
  <si>
    <t>Patient_471</t>
  </si>
  <si>
    <t>P1471</t>
  </si>
  <si>
    <t>Patient_472</t>
  </si>
  <si>
    <t>P1472</t>
  </si>
  <si>
    <t>Patient_473</t>
  </si>
  <si>
    <t>P1473</t>
  </si>
  <si>
    <t>Patient_474</t>
  </si>
  <si>
    <t>P1474</t>
  </si>
  <si>
    <t>Patient_475</t>
  </si>
  <si>
    <t>P1475</t>
  </si>
  <si>
    <t>Patient_476</t>
  </si>
  <si>
    <t>P1476</t>
  </si>
  <si>
    <t>Patient_477</t>
  </si>
  <si>
    <t>P1477</t>
  </si>
  <si>
    <t>Patient_478</t>
  </si>
  <si>
    <t>P1478</t>
  </si>
  <si>
    <t>Patient_479</t>
  </si>
  <si>
    <t>P1479</t>
  </si>
  <si>
    <t>Patient_480</t>
  </si>
  <si>
    <t>P1480</t>
  </si>
  <si>
    <t>Patient_481</t>
  </si>
  <si>
    <t>P1481</t>
  </si>
  <si>
    <t>Patient_482</t>
  </si>
  <si>
    <t>P1482</t>
  </si>
  <si>
    <t>Patient_483</t>
  </si>
  <si>
    <t>P1483</t>
  </si>
  <si>
    <t>Patient_484</t>
  </si>
  <si>
    <t>P1484</t>
  </si>
  <si>
    <t>Patient_485</t>
  </si>
  <si>
    <t>P1485</t>
  </si>
  <si>
    <t>Patient_486</t>
  </si>
  <si>
    <t>P1486</t>
  </si>
  <si>
    <t>Patient_487</t>
  </si>
  <si>
    <t>P1487</t>
  </si>
  <si>
    <t>Patient_488</t>
  </si>
  <si>
    <t>P1488</t>
  </si>
  <si>
    <t>Patient_489</t>
  </si>
  <si>
    <t>P1489</t>
  </si>
  <si>
    <t>Patient_490</t>
  </si>
  <si>
    <t>P1490</t>
  </si>
  <si>
    <t>Patient_491</t>
  </si>
  <si>
    <t>P1491</t>
  </si>
  <si>
    <t>Patient_492</t>
  </si>
  <si>
    <t>P1492</t>
  </si>
  <si>
    <t>Patient_493</t>
  </si>
  <si>
    <t>P1493</t>
  </si>
  <si>
    <t>Patient_494</t>
  </si>
  <si>
    <t>P1494</t>
  </si>
  <si>
    <t>Patient_495</t>
  </si>
  <si>
    <t>P1495</t>
  </si>
  <si>
    <t>Patient_496</t>
  </si>
  <si>
    <t>P1496</t>
  </si>
  <si>
    <t>Patient_497</t>
  </si>
  <si>
    <t>P1497</t>
  </si>
  <si>
    <t>Patient_498</t>
  </si>
  <si>
    <t>P1498</t>
  </si>
  <si>
    <t>Patient_499</t>
  </si>
  <si>
    <t>P1499</t>
  </si>
  <si>
    <t>Patient_500</t>
  </si>
  <si>
    <r>
      <t xml:space="preserve">Analyze the </t>
    </r>
    <r>
      <rPr>
        <b/>
        <sz val="11"/>
        <color theme="1"/>
        <rFont val="Calibri"/>
        <family val="2"/>
        <scheme val="minor"/>
      </rPr>
      <t>total revenue generated by each department</t>
    </r>
    <r>
      <rPr>
        <sz val="11"/>
        <color theme="1"/>
        <rFont val="Calibri"/>
        <family val="2"/>
        <scheme val="minor"/>
      </rPr>
      <t xml:space="preserve"> and identify the </t>
    </r>
    <r>
      <rPr>
        <b/>
        <sz val="11"/>
        <color theme="1"/>
        <rFont val="Calibri"/>
        <family val="2"/>
        <scheme val="minor"/>
      </rPr>
      <t>top-performing department</t>
    </r>
    <r>
      <rPr>
        <sz val="11"/>
        <color theme="1"/>
        <rFont val="Calibri"/>
        <family val="2"/>
        <scheme val="minor"/>
      </rPr>
      <t>.</t>
    </r>
  </si>
  <si>
    <t>Row Labels</t>
  </si>
  <si>
    <t>Grand Total</t>
  </si>
  <si>
    <t>Sum of Total_Bill</t>
  </si>
  <si>
    <r>
      <t xml:space="preserve">Calculate the </t>
    </r>
    <r>
      <rPr>
        <b/>
        <sz val="11"/>
        <color theme="1"/>
        <rFont val="Calibri"/>
        <family val="2"/>
        <scheme val="minor"/>
      </rPr>
      <t>average length of stay (LOS)</t>
    </r>
    <r>
      <rPr>
        <sz val="11"/>
        <color theme="1"/>
        <rFont val="Calibri"/>
        <family val="2"/>
        <scheme val="minor"/>
      </rPr>
      <t xml:space="preserve"> for each </t>
    </r>
    <r>
      <rPr>
        <b/>
        <sz val="11"/>
        <color theme="1"/>
        <rFont val="Calibri"/>
        <family val="2"/>
        <scheme val="minor"/>
      </rPr>
      <t>room type</t>
    </r>
    <r>
      <rPr>
        <sz val="11"/>
        <color theme="1"/>
        <rFont val="Calibri"/>
        <family val="2"/>
        <scheme val="minor"/>
      </rPr>
      <t xml:space="preserve"> and identify which room type has the </t>
    </r>
    <r>
      <rPr>
        <b/>
        <sz val="11"/>
        <color theme="1"/>
        <rFont val="Calibri"/>
        <family val="2"/>
        <scheme val="minor"/>
      </rPr>
      <t>longest stay</t>
    </r>
    <r>
      <rPr>
        <sz val="11"/>
        <color theme="1"/>
        <rFont val="Calibri"/>
        <family val="2"/>
        <scheme val="minor"/>
      </rPr>
      <t>.</t>
    </r>
  </si>
  <si>
    <t>Average of Length_of_Stay_Days</t>
  </si>
  <si>
    <r>
      <t xml:space="preserve">Identify the </t>
    </r>
    <r>
      <rPr>
        <b/>
        <sz val="11"/>
        <color theme="1"/>
        <rFont val="Calibri"/>
        <family val="2"/>
        <scheme val="minor"/>
      </rPr>
      <t>top 5 doctors by total revenue generated</t>
    </r>
    <r>
      <rPr>
        <sz val="11"/>
        <color theme="1"/>
        <rFont val="Calibri"/>
        <family val="2"/>
        <scheme val="minor"/>
      </rPr>
      <t>.</t>
    </r>
  </si>
  <si>
    <r>
      <t xml:space="preserve">Analyze </t>
    </r>
    <r>
      <rPr>
        <b/>
        <sz val="11"/>
        <color theme="1"/>
        <rFont val="Calibri"/>
        <family val="2"/>
        <scheme val="minor"/>
      </rPr>
      <t>payment mode contribution to total revenue</t>
    </r>
    <r>
      <rPr>
        <sz val="11"/>
        <color theme="1"/>
        <rFont val="Calibri"/>
        <family val="2"/>
        <scheme val="minor"/>
      </rPr>
      <t>.</t>
    </r>
  </si>
  <si>
    <r>
      <t xml:space="preserve">Calculate the </t>
    </r>
    <r>
      <rPr>
        <b/>
        <sz val="11"/>
        <color theme="1"/>
        <rFont val="Calibri"/>
        <family val="2"/>
        <scheme val="minor"/>
      </rPr>
      <t>recovery rate by department</t>
    </r>
    <r>
      <rPr>
        <sz val="11"/>
        <color theme="1"/>
        <rFont val="Calibri"/>
        <family val="2"/>
        <scheme val="minor"/>
      </rPr>
      <t>.</t>
    </r>
  </si>
  <si>
    <t>Count of Patient_Status</t>
  </si>
  <si>
    <r>
      <t xml:space="preserve">Find the </t>
    </r>
    <r>
      <rPr>
        <b/>
        <sz val="11"/>
        <color theme="1"/>
        <rFont val="Calibri"/>
        <family val="2"/>
        <scheme val="minor"/>
      </rPr>
      <t>average total bill amount for insured vs non-insured patients</t>
    </r>
    <r>
      <rPr>
        <sz val="11"/>
        <color theme="1"/>
        <rFont val="Calibri"/>
        <family val="2"/>
        <scheme val="minor"/>
      </rPr>
      <t>.</t>
    </r>
  </si>
  <si>
    <t>Average of Total_Bill</t>
  </si>
  <si>
    <t>Values</t>
  </si>
  <si>
    <t>Count of Patient_ID</t>
  </si>
  <si>
    <t>Recovery Rate</t>
  </si>
  <si>
    <t>Insurance revenue</t>
  </si>
  <si>
    <t>KPI</t>
  </si>
  <si>
    <t>Revenue</t>
  </si>
  <si>
    <t>Avg of stay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</si>
</sst>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 #,##0"/>
    <numFmt numFmtId="166" formatCode="0.0%"/>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3" tint="0.79998168889431442"/>
        <bgColor indexed="64"/>
      </patternFill>
    </fill>
    <fill>
      <patternFill patternType="solid">
        <fgColor theme="4"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14" fontId="0" fillId="0" borderId="0" xfId="0" applyNumberFormat="1"/>
    <xf numFmtId="0" fontId="16" fillId="0" borderId="0" xfId="0" applyFon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0" fontId="16" fillId="33" borderId="0" xfId="0" applyFont="1" applyFill="1" applyBorder="1"/>
    <xf numFmtId="166" fontId="0" fillId="0" borderId="0" xfId="0" applyNumberFormat="1" applyBorder="1"/>
    <xf numFmtId="0" fontId="0" fillId="33" borderId="0" xfId="0" applyFill="1"/>
    <xf numFmtId="166" fontId="0" fillId="0" borderId="10" xfId="0" applyNumberFormat="1" applyBorder="1"/>
    <xf numFmtId="165" fontId="0" fillId="0" borderId="10" xfId="0" applyNumberFormat="1" applyBorder="1"/>
    <xf numFmtId="164" fontId="0" fillId="0" borderId="10" xfId="0" applyNumberFormat="1" applyBorder="1"/>
    <xf numFmtId="0" fontId="16" fillId="34" borderId="10" xfId="0" applyFont="1" applyFill="1" applyBorder="1"/>
    <xf numFmtId="166" fontId="0" fillId="0" borderId="0" xfId="0" applyNumberFormat="1"/>
    <xf numFmtId="0" fontId="18" fillId="35" borderId="1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9" formatCode="dd/mm/yyyy"/>
    </dxf>
    <dxf>
      <numFmt numFmtId="19" formatCode="dd/mm/yyyy"/>
    </dxf>
    <dxf>
      <font>
        <b/>
        <i val="0"/>
        <strike val="0"/>
        <condense val="0"/>
        <extend val="0"/>
        <outline val="0"/>
        <shadow val="0"/>
        <u val="none"/>
        <vertAlign val="baseline"/>
        <sz val="11"/>
        <color theme="1"/>
        <name val="Calibri"/>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Mnagement Dashboard_Babyshalini P.xlsx]no 1!PivotTable1</c:name>
    <c:fmtId val="0"/>
  </c:pivotSource>
  <c:chart>
    <c:title>
      <c:tx>
        <c:rich>
          <a:bodyPr/>
          <a:lstStyle/>
          <a:p>
            <a:pPr>
              <a:defRPr/>
            </a:pPr>
            <a:r>
              <a:rPr lang="en-US"/>
              <a:t>Revenue</a:t>
            </a:r>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s>
    <c:plotArea>
      <c:layout/>
      <c:barChart>
        <c:barDir val="col"/>
        <c:grouping val="clustered"/>
        <c:varyColors val="0"/>
        <c:ser>
          <c:idx val="0"/>
          <c:order val="0"/>
          <c:tx>
            <c:strRef>
              <c:f>'no 1'!$B$3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'no 1'!$A$4:$A$10</c:f>
              <c:strCache>
                <c:ptCount val="6"/>
                <c:pt idx="0">
                  <c:v>Gynecology</c:v>
                </c:pt>
                <c:pt idx="1">
                  <c:v>Cardiology</c:v>
                </c:pt>
                <c:pt idx="2">
                  <c:v>Orthopedics</c:v>
                </c:pt>
                <c:pt idx="3">
                  <c:v>General Medicine</c:v>
                </c:pt>
                <c:pt idx="4">
                  <c:v>Neurology</c:v>
                </c:pt>
                <c:pt idx="5">
                  <c:v>Pediatrics</c:v>
                </c:pt>
              </c:strCache>
            </c:strRef>
          </c:cat>
          <c:val>
            <c:numRef>
              <c:f>'no 1'!$B$4:$B$10</c:f>
              <c:numCache>
                <c:formatCode>General</c:formatCode>
                <c:ptCount val="6"/>
                <c:pt idx="0">
                  <c:v>11626165</c:v>
                </c:pt>
                <c:pt idx="1">
                  <c:v>10890019</c:v>
                </c:pt>
                <c:pt idx="2">
                  <c:v>10674353</c:v>
                </c:pt>
                <c:pt idx="3">
                  <c:v>10595332</c:v>
                </c:pt>
                <c:pt idx="4">
                  <c:v>10391655</c:v>
                </c:pt>
                <c:pt idx="5">
                  <c:v>9770396</c:v>
                </c:pt>
              </c:numCache>
            </c:numRef>
          </c:val>
          <c:extLst>
            <c:ext xmlns:c16="http://schemas.microsoft.com/office/drawing/2014/chart" uri="{C3380CC4-5D6E-409C-BE32-E72D297353CC}">
              <c16:uniqueId val="{00000000-F68E-4C56-92B6-3DC8D22B404A}"/>
            </c:ext>
          </c:extLst>
        </c:ser>
        <c:dLbls>
          <c:showLegendKey val="0"/>
          <c:showVal val="1"/>
          <c:showCatName val="0"/>
          <c:showSerName val="0"/>
          <c:showPercent val="0"/>
          <c:showBubbleSize val="0"/>
        </c:dLbls>
        <c:gapWidth val="150"/>
        <c:axId val="110578688"/>
        <c:axId val="110600960"/>
      </c:barChart>
      <c:catAx>
        <c:axId val="110578688"/>
        <c:scaling>
          <c:orientation val="minMax"/>
        </c:scaling>
        <c:delete val="0"/>
        <c:axPos val="b"/>
        <c:numFmt formatCode="General" sourceLinked="0"/>
        <c:majorTickMark val="none"/>
        <c:minorTickMark val="none"/>
        <c:tickLblPos val="nextTo"/>
        <c:crossAx val="110600960"/>
        <c:crosses val="autoZero"/>
        <c:auto val="1"/>
        <c:lblAlgn val="ctr"/>
        <c:lblOffset val="100"/>
        <c:noMultiLvlLbl val="0"/>
      </c:catAx>
      <c:valAx>
        <c:axId val="110600960"/>
        <c:scaling>
          <c:orientation val="minMax"/>
        </c:scaling>
        <c:delete val="1"/>
        <c:axPos val="l"/>
        <c:numFmt formatCode="General" sourceLinked="1"/>
        <c:majorTickMark val="none"/>
        <c:minorTickMark val="none"/>
        <c:tickLblPos val="nextTo"/>
        <c:crossAx val="110578688"/>
        <c:crosses val="autoZero"/>
        <c:crossBetween val="between"/>
      </c:valAx>
      <c:spPr>
        <a:gradFill>
          <a:gsLst>
            <a:gs pos="0">
              <a:srgbClr val="4F81BD">
                <a:tint val="66000"/>
                <a:satMod val="160000"/>
              </a:srgbClr>
            </a:gs>
            <a:gs pos="50000">
              <a:srgbClr val="4F81BD">
                <a:tint val="44500"/>
                <a:satMod val="160000"/>
              </a:srgbClr>
            </a:gs>
            <a:gs pos="100000">
              <a:srgbClr val="4F81BD">
                <a:tint val="23500"/>
                <a:satMod val="160000"/>
              </a:srgbClr>
            </a:gs>
          </a:gsLst>
          <a:lin ang="5400000" scaled="0"/>
        </a:gradFill>
      </c:spPr>
    </c:plotArea>
    <c:plotVisOnly val="1"/>
    <c:dispBlanksAs val="gap"/>
    <c:showDLblsOverMax val="0"/>
  </c:chart>
  <c:spPr>
    <a:gradFill>
      <a:gsLst>
        <a:gs pos="0">
          <a:srgbClr val="4F81BD">
            <a:tint val="66000"/>
            <a:satMod val="16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056" l="0.70000000000000051" r="0.70000000000000051" t="0.75000000000000056" header="0.30000000000000027" footer="0.30000000000000027"/>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Mnagement Dashboard_Babyshalini P.xlsx]no 2!PivotTable2</c:name>
    <c:fmtId val="0"/>
  </c:pivotSource>
  <c:chart>
    <c:title>
      <c:tx>
        <c:rich>
          <a:bodyPr/>
          <a:lstStyle/>
          <a:p>
            <a:pPr>
              <a:defRPr/>
            </a:pPr>
            <a:r>
              <a:rPr lang="en-US"/>
              <a:t>Length</a:t>
            </a:r>
            <a:r>
              <a:rPr lang="en-US" baseline="0"/>
              <a:t> of days</a:t>
            </a:r>
            <a:endParaRPr lang="en-US"/>
          </a:p>
        </c:rich>
      </c:tx>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s>
    <c:plotArea>
      <c:layout/>
      <c:barChart>
        <c:barDir val="bar"/>
        <c:grouping val="stacked"/>
        <c:varyColors val="0"/>
        <c:ser>
          <c:idx val="0"/>
          <c:order val="0"/>
          <c:tx>
            <c:strRef>
              <c:f>'no 2'!$B$3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'no 2'!$A$4:$A$8</c:f>
              <c:strCache>
                <c:ptCount val="4"/>
                <c:pt idx="0">
                  <c:v>General</c:v>
                </c:pt>
                <c:pt idx="1">
                  <c:v>ICU</c:v>
                </c:pt>
                <c:pt idx="2">
                  <c:v>Private</c:v>
                </c:pt>
                <c:pt idx="3">
                  <c:v>Semi-Private</c:v>
                </c:pt>
              </c:strCache>
            </c:strRef>
          </c:cat>
          <c:val>
            <c:numRef>
              <c:f>'no 2'!$B$4:$B$8</c:f>
              <c:numCache>
                <c:formatCode>0.0</c:formatCode>
                <c:ptCount val="4"/>
                <c:pt idx="0">
                  <c:v>9.7519379844961236</c:v>
                </c:pt>
                <c:pt idx="1">
                  <c:v>10.452173913043477</c:v>
                </c:pt>
                <c:pt idx="2">
                  <c:v>10.021428571428572</c:v>
                </c:pt>
                <c:pt idx="3">
                  <c:v>10.336206896551724</c:v>
                </c:pt>
              </c:numCache>
            </c:numRef>
          </c:val>
          <c:extLst>
            <c:ext xmlns:c16="http://schemas.microsoft.com/office/drawing/2014/chart" uri="{C3380CC4-5D6E-409C-BE32-E72D297353CC}">
              <c16:uniqueId val="{00000000-4178-4FFB-B2F3-3E0AA7ED014F}"/>
            </c:ext>
          </c:extLst>
        </c:ser>
        <c:dLbls>
          <c:showLegendKey val="0"/>
          <c:showVal val="1"/>
          <c:showCatName val="0"/>
          <c:showSerName val="0"/>
          <c:showPercent val="0"/>
          <c:showBubbleSize val="0"/>
        </c:dLbls>
        <c:gapWidth val="95"/>
        <c:overlap val="100"/>
        <c:axId val="110532480"/>
        <c:axId val="110534016"/>
      </c:barChart>
      <c:catAx>
        <c:axId val="110532480"/>
        <c:scaling>
          <c:orientation val="minMax"/>
        </c:scaling>
        <c:delete val="0"/>
        <c:axPos val="l"/>
        <c:numFmt formatCode="General" sourceLinked="0"/>
        <c:majorTickMark val="none"/>
        <c:minorTickMark val="none"/>
        <c:tickLblPos val="nextTo"/>
        <c:txPr>
          <a:bodyPr/>
          <a:lstStyle/>
          <a:p>
            <a:pPr>
              <a:defRPr b="1"/>
            </a:pPr>
            <a:endParaRPr lang="en-US"/>
          </a:p>
        </c:txPr>
        <c:crossAx val="110534016"/>
        <c:crosses val="autoZero"/>
        <c:auto val="1"/>
        <c:lblAlgn val="ctr"/>
        <c:lblOffset val="100"/>
        <c:noMultiLvlLbl val="0"/>
      </c:catAx>
      <c:valAx>
        <c:axId val="110534016"/>
        <c:scaling>
          <c:orientation val="minMax"/>
        </c:scaling>
        <c:delete val="1"/>
        <c:axPos val="b"/>
        <c:numFmt formatCode="0.0" sourceLinked="1"/>
        <c:majorTickMark val="out"/>
        <c:minorTickMark val="none"/>
        <c:tickLblPos val="nextTo"/>
        <c:crossAx val="110532480"/>
        <c:crosses val="autoZero"/>
        <c:crossBetween val="between"/>
      </c:valAx>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lotArea>
    <c:plotVisOnly val="1"/>
    <c:dispBlanksAs val="gap"/>
    <c:showDLblsOverMax val="0"/>
  </c:chart>
  <c:spPr>
    <a:gradFill>
      <a:gsLst>
        <a:gs pos="0">
          <a:schemeClr val="accent5">
            <a:lumMod val="60000"/>
            <a:lumOff val="40000"/>
          </a:schemeClr>
        </a:gs>
        <a:gs pos="50000">
          <a:srgbClr val="4F81BD">
            <a:tint val="44500"/>
            <a:satMod val="160000"/>
          </a:srgbClr>
        </a:gs>
        <a:gs pos="100000">
          <a:srgbClr val="4F81BD">
            <a:tint val="23500"/>
            <a:satMod val="160000"/>
          </a:srgbClr>
        </a:gs>
      </a:gsLst>
      <a:lin ang="5400000" scaled="0"/>
    </a:gradFill>
  </c:spPr>
  <c:printSettings>
    <c:headerFooter/>
    <c:pageMargins b="0.75000000000000056" l="0.70000000000000051" r="0.70000000000000051" t="0.75000000000000056" header="0.30000000000000027" footer="0.30000000000000027"/>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Mnagement Dashboard_Babyshalini P.xlsx]no 3!PivotTable3</c:name>
    <c:fmtId val="0"/>
  </c:pivotSource>
  <c:chart>
    <c:autoTitleDeleted val="1"/>
    <c:pivotFmts>
      <c:pivotFmt>
        <c:idx val="0"/>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sideWall>
    <c:backWall>
      <c:thickness val="0"/>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backWall>
    <c:plotArea>
      <c:layout/>
      <c:bar3DChart>
        <c:barDir val="col"/>
        <c:grouping val="clustered"/>
        <c:varyColors val="0"/>
        <c:ser>
          <c:idx val="0"/>
          <c:order val="0"/>
          <c:tx>
            <c:strRef>
              <c:f>'no 3'!$B$3</c:f>
              <c:strCache>
                <c:ptCount val="1"/>
                <c:pt idx="0">
                  <c:v>Total</c:v>
                </c:pt>
              </c:strCache>
            </c:strRef>
          </c:tx>
          <c:invertIfNegative val="0"/>
          <c:cat>
            <c:strRef>
              <c:f>'no 3'!$A$4:$A$10</c:f>
              <c:strCache>
                <c:ptCount val="6"/>
                <c:pt idx="0">
                  <c:v>Dr. Iyer</c:v>
                </c:pt>
                <c:pt idx="1">
                  <c:v>Dr. Mehta</c:v>
                </c:pt>
                <c:pt idx="2">
                  <c:v>Dr. Patel</c:v>
                </c:pt>
                <c:pt idx="3">
                  <c:v>Dr. Rao</c:v>
                </c:pt>
                <c:pt idx="4">
                  <c:v>Dr. Sharma</c:v>
                </c:pt>
                <c:pt idx="5">
                  <c:v>Dr. Singh</c:v>
                </c:pt>
              </c:strCache>
            </c:strRef>
          </c:cat>
          <c:val>
            <c:numRef>
              <c:f>'no 3'!$B$4:$B$10</c:f>
              <c:numCache>
                <c:formatCode>"₹"\ #,##0</c:formatCode>
                <c:ptCount val="6"/>
                <c:pt idx="0">
                  <c:v>9841975</c:v>
                </c:pt>
                <c:pt idx="1">
                  <c:v>11337381</c:v>
                </c:pt>
                <c:pt idx="2">
                  <c:v>11089570</c:v>
                </c:pt>
                <c:pt idx="3">
                  <c:v>10589294</c:v>
                </c:pt>
                <c:pt idx="4">
                  <c:v>11937073</c:v>
                </c:pt>
                <c:pt idx="5">
                  <c:v>9152627</c:v>
                </c:pt>
              </c:numCache>
            </c:numRef>
          </c:val>
          <c:extLst>
            <c:ext xmlns:c16="http://schemas.microsoft.com/office/drawing/2014/chart" uri="{C3380CC4-5D6E-409C-BE32-E72D297353CC}">
              <c16:uniqueId val="{00000000-4D04-4E99-AB5B-F40C8D4A3369}"/>
            </c:ext>
          </c:extLst>
        </c:ser>
        <c:dLbls>
          <c:showLegendKey val="0"/>
          <c:showVal val="0"/>
          <c:showCatName val="0"/>
          <c:showSerName val="0"/>
          <c:showPercent val="0"/>
          <c:showBubbleSize val="0"/>
        </c:dLbls>
        <c:gapWidth val="75"/>
        <c:shape val="cone"/>
        <c:axId val="112446080"/>
        <c:axId val="112451968"/>
        <c:axId val="0"/>
      </c:bar3DChart>
      <c:catAx>
        <c:axId val="112446080"/>
        <c:scaling>
          <c:orientation val="minMax"/>
        </c:scaling>
        <c:delete val="0"/>
        <c:axPos val="b"/>
        <c:numFmt formatCode="General" sourceLinked="0"/>
        <c:majorTickMark val="none"/>
        <c:minorTickMark val="none"/>
        <c:tickLblPos val="nextTo"/>
        <c:crossAx val="112451968"/>
        <c:crosses val="autoZero"/>
        <c:auto val="1"/>
        <c:lblAlgn val="ctr"/>
        <c:lblOffset val="100"/>
        <c:noMultiLvlLbl val="0"/>
      </c:catAx>
      <c:valAx>
        <c:axId val="112451968"/>
        <c:scaling>
          <c:orientation val="minMax"/>
        </c:scaling>
        <c:delete val="0"/>
        <c:axPos val="l"/>
        <c:numFmt formatCode="&quot;₹&quot;\ #,##0" sourceLinked="1"/>
        <c:majorTickMark val="none"/>
        <c:minorTickMark val="none"/>
        <c:tickLblPos val="nextTo"/>
        <c:crossAx val="112446080"/>
        <c:crosses val="autoZero"/>
        <c:crossBetween val="between"/>
      </c:valAx>
    </c:plotArea>
    <c:plotVisOnly val="1"/>
    <c:dispBlanksAs val="gap"/>
    <c:showDLblsOverMax val="0"/>
  </c:chart>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056" l="0.70000000000000051" r="0.70000000000000051" t="0.75000000000000056" header="0.30000000000000027" footer="0.30000000000000027"/>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Mnagement Dashboard_Babyshalini P.xlsx]no 4!PivotTable4</c:name>
    <c:fmtId val="0"/>
  </c:pivotSource>
  <c:chart>
    <c:title>
      <c:tx>
        <c:rich>
          <a:bodyPr/>
          <a:lstStyle/>
          <a:p>
            <a:pPr>
              <a:defRPr/>
            </a:pPr>
            <a:r>
              <a:rPr lang="en-US"/>
              <a:t>Payment</a:t>
            </a:r>
            <a:r>
              <a:rPr lang="en-US" baseline="0"/>
              <a:t> method</a:t>
            </a:r>
            <a:endParaRPr lang="en-US"/>
          </a:p>
        </c:rich>
      </c:tx>
      <c:layout>
        <c:manualLayout>
          <c:xMode val="edge"/>
          <c:yMode val="edge"/>
          <c:x val="0.24607553366174059"/>
          <c:y val="2.9411764705882353E-2"/>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'no 4'!$B$3</c:f>
              <c:strCache>
                <c:ptCount val="1"/>
                <c:pt idx="0">
                  <c:v>Total</c:v>
                </c:pt>
              </c:strCache>
            </c:strRef>
          </c:tx>
          <c:cat>
            <c:strRef>
              <c:f>'no 4'!$A$4:$A$8</c:f>
              <c:strCache>
                <c:ptCount val="4"/>
                <c:pt idx="0">
                  <c:v>Card</c:v>
                </c:pt>
                <c:pt idx="1">
                  <c:v>Cash</c:v>
                </c:pt>
                <c:pt idx="2">
                  <c:v>Insurance</c:v>
                </c:pt>
                <c:pt idx="3">
                  <c:v>UPI</c:v>
                </c:pt>
              </c:strCache>
            </c:strRef>
          </c:cat>
          <c:val>
            <c:numRef>
              <c:f>'no 4'!$B$4:$B$8</c:f>
              <c:numCache>
                <c:formatCode>General</c:formatCode>
                <c:ptCount val="4"/>
                <c:pt idx="0">
                  <c:v>17082133</c:v>
                </c:pt>
                <c:pt idx="1">
                  <c:v>14909504</c:v>
                </c:pt>
                <c:pt idx="2">
                  <c:v>17348861</c:v>
                </c:pt>
                <c:pt idx="3">
                  <c:v>14607422</c:v>
                </c:pt>
              </c:numCache>
            </c:numRef>
          </c:val>
          <c:extLst>
            <c:ext xmlns:c16="http://schemas.microsoft.com/office/drawing/2014/chart" uri="{C3380CC4-5D6E-409C-BE32-E72D297353CC}">
              <c16:uniqueId val="{00000000-86F3-4195-BC74-A743BC1C680A}"/>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zero"/>
    <c:showDLblsOverMax val="0"/>
  </c:chart>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056" l="0.70000000000000051" r="0.70000000000000051" t="0.75000000000000056" header="0.30000000000000027" footer="0.30000000000000027"/>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Mnagement Dashboard_Babyshalini P.xlsx]no 5!PivotTable5</c:name>
    <c:fmtId val="0"/>
  </c:pivotSource>
  <c:chart>
    <c:title>
      <c:tx>
        <c:rich>
          <a:bodyPr/>
          <a:lstStyle/>
          <a:p>
            <a:pPr>
              <a:defRPr/>
            </a:pPr>
            <a:r>
              <a:rPr lang="en-US"/>
              <a:t>Recovery</a:t>
            </a:r>
            <a:r>
              <a:rPr lang="en-US" baseline="0"/>
              <a:t> rate</a:t>
            </a:r>
            <a:endParaRPr lang="en-US"/>
          </a:p>
        </c:rich>
      </c:tx>
      <c:overlay val="0"/>
    </c:title>
    <c:autoTitleDeleted val="0"/>
    <c:pivotFmts>
      <c:pivotFmt>
        <c:idx val="0"/>
        <c:marker>
          <c:symbol val="none"/>
        </c:marker>
        <c:dLbl>
          <c:idx val="0"/>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32500000000000034"/>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29166666666666707"/>
              <c:y val="-4.629629629629633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30000000000000027"/>
              <c:y val="-9.259259259259277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27222222222222231"/>
              <c:y val="-4.629629629629590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29166666666666702"/>
              <c:y val="-1.388888888888890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27222222222222231"/>
              <c:y val="-4.629629629629633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27988338192419876"/>
              <c:y val="0"/>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3994169096209927"/>
              <c:y val="0"/>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23323615160349867"/>
              <c:y val="5.6497175141242938E-3"/>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26822157434402338"/>
              <c:y val="-5.6497175141242938E-3"/>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24489795918367346"/>
              <c:y val="-2.2598870056497182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19825072886297376"/>
              <c:y val="-1.1299435028248589E-2"/>
            </c:manualLayout>
          </c:layout>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0.34371754551089284"/>
          <c:y val="0.24546806649168856"/>
          <c:w val="0.60963522416840776"/>
          <c:h val="0.6902044481281947"/>
        </c:manualLayout>
      </c:layout>
      <c:bar3DChart>
        <c:barDir val="bar"/>
        <c:grouping val="stacked"/>
        <c:varyColors val="0"/>
        <c:ser>
          <c:idx val="0"/>
          <c:order val="0"/>
          <c:tx>
            <c:strRef>
              <c:f>'no 5'!$B$3</c:f>
              <c:strCache>
                <c:ptCount val="1"/>
                <c:pt idx="0">
                  <c:v>Total</c:v>
                </c:pt>
              </c:strCache>
            </c:strRef>
          </c:tx>
          <c:invertIfNegative val="0"/>
          <c:dLbls>
            <c:dLbl>
              <c:idx val="0"/>
              <c:layout>
                <c:manualLayout>
                  <c:x val="0.24489795918367346"/>
                  <c:y val="-2.2598870056497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924-46C8-952A-EE07F4D2D9DB}"/>
                </c:ext>
              </c:extLst>
            </c:dLbl>
            <c:dLbl>
              <c:idx val="1"/>
              <c:layout>
                <c:manualLayout>
                  <c:x val="0.19825072886297376"/>
                  <c:y val="-1.1299435028248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24-46C8-952A-EE07F4D2D9DB}"/>
                </c:ext>
              </c:extLst>
            </c:dLbl>
            <c:dLbl>
              <c:idx val="2"/>
              <c:layout>
                <c:manualLayout>
                  <c:x val="0.2798833819241987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924-46C8-952A-EE07F4D2D9DB}"/>
                </c:ext>
              </c:extLst>
            </c:dLbl>
            <c:dLbl>
              <c:idx val="3"/>
              <c:layout>
                <c:manualLayout>
                  <c:x val="0.1399416909620992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24-46C8-952A-EE07F4D2D9DB}"/>
                </c:ext>
              </c:extLst>
            </c:dLbl>
            <c:dLbl>
              <c:idx val="4"/>
              <c:layout>
                <c:manualLayout>
                  <c:x val="0.23323615160349867"/>
                  <c:y val="5.64971751412429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924-46C8-952A-EE07F4D2D9DB}"/>
                </c:ext>
              </c:extLst>
            </c:dLbl>
            <c:dLbl>
              <c:idx val="5"/>
              <c:layout>
                <c:manualLayout>
                  <c:x val="0.26822157434402338"/>
                  <c:y val="-5.649717514124293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924-46C8-952A-EE07F4D2D9DB}"/>
                </c:ext>
              </c:extLst>
            </c:dLbl>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'no 5'!$A$4:$A$10</c:f>
              <c:strCache>
                <c:ptCount val="6"/>
                <c:pt idx="0">
                  <c:v>Cardiology</c:v>
                </c:pt>
                <c:pt idx="1">
                  <c:v>General Medicine</c:v>
                </c:pt>
                <c:pt idx="2">
                  <c:v>Gynecology</c:v>
                </c:pt>
                <c:pt idx="3">
                  <c:v>Neurology</c:v>
                </c:pt>
                <c:pt idx="4">
                  <c:v>Orthopedics</c:v>
                </c:pt>
                <c:pt idx="5">
                  <c:v>Pediatrics</c:v>
                </c:pt>
              </c:strCache>
            </c:strRef>
          </c:cat>
          <c:val>
            <c:numRef>
              <c:f>'no 5'!$B$4:$B$10</c:f>
              <c:numCache>
                <c:formatCode>0.0%</c:formatCode>
                <c:ptCount val="6"/>
                <c:pt idx="0">
                  <c:v>0.17886178861788618</c:v>
                </c:pt>
                <c:pt idx="1">
                  <c:v>0.14634146341463414</c:v>
                </c:pt>
                <c:pt idx="2">
                  <c:v>0.21138211382113822</c:v>
                </c:pt>
                <c:pt idx="3">
                  <c:v>8.943089430894309E-2</c:v>
                </c:pt>
                <c:pt idx="4">
                  <c:v>0.17073170731707318</c:v>
                </c:pt>
                <c:pt idx="5">
                  <c:v>0.2032520325203252</c:v>
                </c:pt>
              </c:numCache>
            </c:numRef>
          </c:val>
          <c:extLst>
            <c:ext xmlns:c16="http://schemas.microsoft.com/office/drawing/2014/chart" uri="{C3380CC4-5D6E-409C-BE32-E72D297353CC}">
              <c16:uniqueId val="{00000006-4924-46C8-952A-EE07F4D2D9DB}"/>
            </c:ext>
          </c:extLst>
        </c:ser>
        <c:dLbls>
          <c:showLegendKey val="0"/>
          <c:showVal val="1"/>
          <c:showCatName val="0"/>
          <c:showSerName val="0"/>
          <c:showPercent val="0"/>
          <c:showBubbleSize val="0"/>
        </c:dLbls>
        <c:gapWidth val="95"/>
        <c:gapDepth val="95"/>
        <c:shape val="cone"/>
        <c:axId val="112844160"/>
        <c:axId val="114033792"/>
        <c:axId val="0"/>
      </c:bar3DChart>
      <c:catAx>
        <c:axId val="112844160"/>
        <c:scaling>
          <c:orientation val="minMax"/>
        </c:scaling>
        <c:delete val="0"/>
        <c:axPos val="l"/>
        <c:numFmt formatCode="General" sourceLinked="0"/>
        <c:majorTickMark val="none"/>
        <c:minorTickMark val="none"/>
        <c:tickLblPos val="nextTo"/>
        <c:txPr>
          <a:bodyPr/>
          <a:lstStyle/>
          <a:p>
            <a:pPr>
              <a:defRPr b="1"/>
            </a:pPr>
            <a:endParaRPr lang="en-US"/>
          </a:p>
        </c:txPr>
        <c:crossAx val="114033792"/>
        <c:crosses val="autoZero"/>
        <c:auto val="1"/>
        <c:lblAlgn val="ctr"/>
        <c:lblOffset val="100"/>
        <c:noMultiLvlLbl val="0"/>
      </c:catAx>
      <c:valAx>
        <c:axId val="114033792"/>
        <c:scaling>
          <c:orientation val="minMax"/>
        </c:scaling>
        <c:delete val="1"/>
        <c:axPos val="b"/>
        <c:numFmt formatCode="0.0%" sourceLinked="1"/>
        <c:majorTickMark val="none"/>
        <c:minorTickMark val="none"/>
        <c:tickLblPos val="nextTo"/>
        <c:crossAx val="112844160"/>
        <c:crosses val="autoZero"/>
        <c:crossBetween val="between"/>
      </c:valAx>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lotArea>
    <c:plotVisOnly val="1"/>
    <c:dispBlanksAs val="gap"/>
    <c:showDLblsOverMax val="0"/>
  </c:chart>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056" l="0.70000000000000051" r="0.70000000000000051" t="0.75000000000000056" header="0.30000000000000027" footer="0.30000000000000027"/>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Mnagement Dashboard_Babyshalini P.xlsx]no 6!PivotTable6</c:name>
    <c:fmtId val="0"/>
  </c:pivotSource>
  <c:chart>
    <c:title>
      <c:tx>
        <c:rich>
          <a:bodyPr/>
          <a:lstStyle/>
          <a:p>
            <a:pPr>
              <a:defRPr/>
            </a:pPr>
            <a:r>
              <a:rPr lang="en-US"/>
              <a:t>Avg</a:t>
            </a:r>
            <a:r>
              <a:rPr lang="en-US" baseline="0"/>
              <a:t> total bill</a:t>
            </a:r>
            <a:endParaRPr lang="en-US"/>
          </a:p>
        </c:rich>
      </c:tx>
      <c:overlay val="0"/>
    </c:title>
    <c:autoTitleDeleted val="0"/>
    <c:pivotFmts>
      <c:pivotFmt>
        <c:idx val="0"/>
        <c:marker>
          <c:symbol val="none"/>
        </c:marker>
        <c:dLbl>
          <c:idx val="0"/>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6666666666666684E-2"/>
              <c:y val="-5.555555555555549E-2"/>
            </c:manualLayout>
          </c:layout>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6.0185185185185147E-2"/>
            </c:manualLayout>
          </c:layout>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0925337632080168E-17"/>
              <c:y val="-5.555555555555549E-2"/>
            </c:manualLayout>
          </c:layout>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3888888888888907E-2"/>
              <c:y val="-8.7962962962963076E-2"/>
            </c:manualLayout>
          </c:layout>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555555555554482E-3"/>
              <c:y val="-4.1666666666666664E-2"/>
            </c:manualLayout>
          </c:layout>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 6'!$B$3</c:f>
              <c:strCache>
                <c:ptCount val="1"/>
                <c:pt idx="0">
                  <c:v>Total</c:v>
                </c:pt>
              </c:strCache>
            </c:strRef>
          </c:tx>
          <c:marker>
            <c:symbol val="none"/>
          </c:marker>
          <c:dLbls>
            <c:dLbl>
              <c:idx val="0"/>
              <c:layout>
                <c:manualLayout>
                  <c:x val="-1.6666666666666684E-2"/>
                  <c:y val="-5.55555555555554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515-4CE4-BA3B-4BAED09FB50F}"/>
                </c:ext>
              </c:extLst>
            </c:dLbl>
            <c:dLbl>
              <c:idx val="1"/>
              <c:layout>
                <c:manualLayout>
                  <c:x val="0"/>
                  <c:y val="-6.01851851851851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515-4CE4-BA3B-4BAED09FB50F}"/>
                </c:ext>
              </c:extLst>
            </c:dLbl>
            <c:dLbl>
              <c:idx val="2"/>
              <c:layout>
                <c:manualLayout>
                  <c:x val="-5.0925337632080168E-17"/>
                  <c:y val="-5.55555555555554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15-4CE4-BA3B-4BAED09FB50F}"/>
                </c:ext>
              </c:extLst>
            </c:dLbl>
            <c:dLbl>
              <c:idx val="3"/>
              <c:layout>
                <c:manualLayout>
                  <c:x val="-1.3888888888888907E-2"/>
                  <c:y val="-8.796296296296307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15-4CE4-BA3B-4BAED09FB50F}"/>
                </c:ext>
              </c:extLst>
            </c:dLbl>
            <c:dLbl>
              <c:idx val="4"/>
              <c:layout>
                <c:manualLayout>
                  <c:x val="5.5555555555554482E-3"/>
                  <c:y val="-4.16666666666666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15-4CE4-BA3B-4BAED09FB50F}"/>
                </c:ext>
              </c:extLst>
            </c:dLbl>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'no 6'!$A$4:$A$9</c:f>
              <c:strCache>
                <c:ptCount val="5"/>
                <c:pt idx="0">
                  <c:v>HDFC Ergo</c:v>
                </c:pt>
                <c:pt idx="1">
                  <c:v>ICICI Lombard</c:v>
                </c:pt>
                <c:pt idx="2">
                  <c:v>New India Assurance</c:v>
                </c:pt>
                <c:pt idx="3">
                  <c:v>None</c:v>
                </c:pt>
                <c:pt idx="4">
                  <c:v>Star Health</c:v>
                </c:pt>
              </c:strCache>
            </c:strRef>
          </c:cat>
          <c:val>
            <c:numRef>
              <c:f>'no 6'!$B$4:$B$9</c:f>
              <c:numCache>
                <c:formatCode>0.0</c:formatCode>
                <c:ptCount val="5"/>
                <c:pt idx="0">
                  <c:v>123512.61616161616</c:v>
                </c:pt>
                <c:pt idx="1">
                  <c:v>126178.25</c:v>
                </c:pt>
                <c:pt idx="2">
                  <c:v>127774.92307692308</c:v>
                </c:pt>
                <c:pt idx="3">
                  <c:v>121623.12621359223</c:v>
                </c:pt>
                <c:pt idx="4">
                  <c:v>139279.41071428571</c:v>
                </c:pt>
              </c:numCache>
            </c:numRef>
          </c:val>
          <c:smooth val="0"/>
          <c:extLst>
            <c:ext xmlns:c16="http://schemas.microsoft.com/office/drawing/2014/chart" uri="{C3380CC4-5D6E-409C-BE32-E72D297353CC}">
              <c16:uniqueId val="{00000005-C515-4CE4-BA3B-4BAED09FB50F}"/>
            </c:ext>
          </c:extLst>
        </c:ser>
        <c:dLbls>
          <c:showLegendKey val="0"/>
          <c:showVal val="1"/>
          <c:showCatName val="0"/>
          <c:showSerName val="0"/>
          <c:showPercent val="0"/>
          <c:showBubbleSize val="0"/>
        </c:dLbls>
        <c:smooth val="0"/>
        <c:axId val="114249728"/>
        <c:axId val="114251264"/>
      </c:lineChart>
      <c:catAx>
        <c:axId val="114249728"/>
        <c:scaling>
          <c:orientation val="minMax"/>
        </c:scaling>
        <c:delete val="0"/>
        <c:axPos val="b"/>
        <c:numFmt formatCode="General" sourceLinked="0"/>
        <c:majorTickMark val="none"/>
        <c:minorTickMark val="none"/>
        <c:tickLblPos val="nextTo"/>
        <c:spPr>
          <a:ln w="9525">
            <a:noFill/>
          </a:ln>
        </c:spPr>
        <c:txPr>
          <a:bodyPr/>
          <a:lstStyle/>
          <a:p>
            <a:pPr>
              <a:defRPr b="1"/>
            </a:pPr>
            <a:endParaRPr lang="en-US"/>
          </a:p>
        </c:txPr>
        <c:crossAx val="114251264"/>
        <c:crosses val="autoZero"/>
        <c:auto val="1"/>
        <c:lblAlgn val="ctr"/>
        <c:lblOffset val="100"/>
        <c:noMultiLvlLbl val="0"/>
      </c:catAx>
      <c:valAx>
        <c:axId val="114251264"/>
        <c:scaling>
          <c:orientation val="minMax"/>
        </c:scaling>
        <c:delete val="1"/>
        <c:axPos val="l"/>
        <c:numFmt formatCode="0.0" sourceLinked="1"/>
        <c:majorTickMark val="none"/>
        <c:minorTickMark val="none"/>
        <c:tickLblPos val="nextTo"/>
        <c:crossAx val="114249728"/>
        <c:crosses val="autoZero"/>
        <c:crossBetween val="between"/>
      </c:valAx>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lotArea>
    <c:plotVisOnly val="1"/>
    <c:dispBlanksAs val="gap"/>
    <c:showDLblsOverMax val="0"/>
  </c:chart>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056" l="0.70000000000000051" r="0.70000000000000051" t="0.75000000000000056" header="0.30000000000000027" footer="0.30000000000000027"/>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Mnagement Dashboard_Babyshalini P.xlsx]Sheet1!PivotTable1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83-405D-B6B6-E70B6CA55A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83-405D-B6B6-E70B6CA55A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83-405D-B6B6-E70B6CA55A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83-405D-B6B6-E70B6CA55A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483-405D-B6B6-E70B6CA55A1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483-405D-B6B6-E70B6CA55A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Sheet1!$A$4:$A$10</c:f>
              <c:strCache>
                <c:ptCount val="6"/>
                <c:pt idx="0">
                  <c:v>Cardiology</c:v>
                </c:pt>
                <c:pt idx="1">
                  <c:v>General Medicine</c:v>
                </c:pt>
                <c:pt idx="2">
                  <c:v>Gynecology</c:v>
                </c:pt>
                <c:pt idx="3">
                  <c:v>Neurology</c:v>
                </c:pt>
                <c:pt idx="4">
                  <c:v>Orthopedics</c:v>
                </c:pt>
                <c:pt idx="5">
                  <c:v>Pediatrics</c:v>
                </c:pt>
              </c:strCache>
            </c:strRef>
          </c:cat>
          <c:val>
            <c:numRef>
              <c:f>Sheet1!$B$4:$B$10</c:f>
              <c:numCache>
                <c:formatCode>General</c:formatCode>
                <c:ptCount val="6"/>
                <c:pt idx="0">
                  <c:v>10890019</c:v>
                </c:pt>
                <c:pt idx="1">
                  <c:v>10595332</c:v>
                </c:pt>
                <c:pt idx="2">
                  <c:v>11626165</c:v>
                </c:pt>
                <c:pt idx="3">
                  <c:v>10391655</c:v>
                </c:pt>
                <c:pt idx="4">
                  <c:v>10674353</c:v>
                </c:pt>
                <c:pt idx="5">
                  <c:v>9770396</c:v>
                </c:pt>
              </c:numCache>
            </c:numRef>
          </c:val>
          <c:extLst>
            <c:ext xmlns:c16="http://schemas.microsoft.com/office/drawing/2014/chart" uri="{C3380CC4-5D6E-409C-BE32-E72D297353CC}">
              <c16:uniqueId val="{00000000-7C54-466C-A0F2-6DAFDD1404A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Mnagement Dashboard_Babyshalini P.xlsx]no 1!PivotTable1</c:name>
    <c:fmtId val="2"/>
  </c:pivotSource>
  <c:chart>
    <c:title>
      <c:tx>
        <c:rich>
          <a:bodyPr/>
          <a:lstStyle/>
          <a:p>
            <a:pPr>
              <a:defRPr>
                <a:solidFill>
                  <a:schemeClr val="accent1">
                    <a:lumMod val="50000"/>
                  </a:schemeClr>
                </a:solidFill>
                <a:latin typeface="+mj-lt"/>
              </a:defRPr>
            </a:pPr>
            <a:r>
              <a:rPr lang="en-US">
                <a:solidFill>
                  <a:schemeClr val="accent1">
                    <a:lumMod val="50000"/>
                  </a:schemeClr>
                </a:solidFill>
                <a:latin typeface="+mj-lt"/>
              </a:rPr>
              <a:t>Revenue</a:t>
            </a:r>
          </a:p>
        </c:rich>
      </c:tx>
      <c:overlay val="0"/>
    </c:title>
    <c:autoTitleDeleted val="0"/>
    <c:pivotFmts>
      <c:pivotFmt>
        <c:idx val="0"/>
        <c:dLbl>
          <c:idx val="0"/>
          <c:delete val="1"/>
          <c:extLst>
            <c:ext xmlns:c15="http://schemas.microsoft.com/office/drawing/2012/chart" uri="{CE6537A1-D6FC-4f65-9D91-7224C49458BB}"/>
          </c:extLst>
        </c:dLbl>
      </c:pivotFmt>
      <c:pivotFmt>
        <c:idx val="1"/>
      </c:pivotFmt>
      <c:pivotFmt>
        <c:idx val="2"/>
      </c:pivotFmt>
      <c:pivotFmt>
        <c:idx val="3"/>
        <c:marker>
          <c:symbol val="none"/>
        </c:marker>
      </c:pivotFmt>
      <c:pivotFmt>
        <c:idx val="4"/>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5019483985114677E-2"/>
          <c:y val="0.19113946199763004"/>
          <c:w val="0.863106946342451"/>
          <c:h val="0.37161006856521794"/>
        </c:manualLayout>
      </c:layout>
      <c:barChart>
        <c:barDir val="col"/>
        <c:grouping val="clustered"/>
        <c:varyColors val="0"/>
        <c:ser>
          <c:idx val="0"/>
          <c:order val="0"/>
          <c:tx>
            <c:strRef>
              <c:f>'no 1'!$B$3</c:f>
              <c:strCache>
                <c:ptCount val="1"/>
                <c:pt idx="0">
                  <c:v>Total</c:v>
                </c:pt>
              </c:strCache>
            </c:strRef>
          </c:tx>
          <c:invertIfNegative val="0"/>
          <c:cat>
            <c:strRef>
              <c:f>'no 1'!$A$4:$A$10</c:f>
              <c:strCache>
                <c:ptCount val="6"/>
                <c:pt idx="0">
                  <c:v>Gynecology</c:v>
                </c:pt>
                <c:pt idx="1">
                  <c:v>Cardiology</c:v>
                </c:pt>
                <c:pt idx="2">
                  <c:v>Orthopedics</c:v>
                </c:pt>
                <c:pt idx="3">
                  <c:v>General Medicine</c:v>
                </c:pt>
                <c:pt idx="4">
                  <c:v>Neurology</c:v>
                </c:pt>
                <c:pt idx="5">
                  <c:v>Pediatrics</c:v>
                </c:pt>
              </c:strCache>
            </c:strRef>
          </c:cat>
          <c:val>
            <c:numRef>
              <c:f>'no 1'!$B$4:$B$10</c:f>
              <c:numCache>
                <c:formatCode>General</c:formatCode>
                <c:ptCount val="6"/>
                <c:pt idx="0">
                  <c:v>11626165</c:v>
                </c:pt>
                <c:pt idx="1">
                  <c:v>10890019</c:v>
                </c:pt>
                <c:pt idx="2">
                  <c:v>10674353</c:v>
                </c:pt>
                <c:pt idx="3">
                  <c:v>10595332</c:v>
                </c:pt>
                <c:pt idx="4">
                  <c:v>10391655</c:v>
                </c:pt>
                <c:pt idx="5">
                  <c:v>9770396</c:v>
                </c:pt>
              </c:numCache>
            </c:numRef>
          </c:val>
          <c:extLst>
            <c:ext xmlns:c16="http://schemas.microsoft.com/office/drawing/2014/chart" uri="{C3380CC4-5D6E-409C-BE32-E72D297353CC}">
              <c16:uniqueId val="{00000000-FBB0-4498-B4E4-109AC24E2E4A}"/>
            </c:ext>
          </c:extLst>
        </c:ser>
        <c:dLbls>
          <c:showLegendKey val="0"/>
          <c:showVal val="0"/>
          <c:showCatName val="0"/>
          <c:showSerName val="0"/>
          <c:showPercent val="0"/>
          <c:showBubbleSize val="0"/>
        </c:dLbls>
        <c:gapWidth val="150"/>
        <c:axId val="114625920"/>
        <c:axId val="114627712"/>
      </c:barChart>
      <c:catAx>
        <c:axId val="114625920"/>
        <c:scaling>
          <c:orientation val="minMax"/>
        </c:scaling>
        <c:delete val="0"/>
        <c:axPos val="b"/>
        <c:numFmt formatCode="General" sourceLinked="0"/>
        <c:majorTickMark val="out"/>
        <c:minorTickMark val="none"/>
        <c:tickLblPos val="nextTo"/>
        <c:txPr>
          <a:bodyPr/>
          <a:lstStyle/>
          <a:p>
            <a:pPr>
              <a:defRPr b="1"/>
            </a:pPr>
            <a:endParaRPr lang="en-US"/>
          </a:p>
        </c:txPr>
        <c:crossAx val="114627712"/>
        <c:crosses val="autoZero"/>
        <c:auto val="1"/>
        <c:lblAlgn val="ctr"/>
        <c:lblOffset val="100"/>
        <c:noMultiLvlLbl val="0"/>
      </c:catAx>
      <c:valAx>
        <c:axId val="114627712"/>
        <c:scaling>
          <c:orientation val="minMax"/>
        </c:scaling>
        <c:delete val="0"/>
        <c:axPos val="l"/>
        <c:numFmt formatCode="General" sourceLinked="1"/>
        <c:majorTickMark val="out"/>
        <c:minorTickMark val="none"/>
        <c:tickLblPos val="nextTo"/>
        <c:txPr>
          <a:bodyPr/>
          <a:lstStyle/>
          <a:p>
            <a:pPr>
              <a:defRPr b="1"/>
            </a:pPr>
            <a:endParaRPr lang="en-US"/>
          </a:p>
        </c:txPr>
        <c:crossAx val="114625920"/>
        <c:crosses val="autoZero"/>
        <c:crossBetween val="between"/>
      </c:valAx>
      <c:spPr>
        <a:gradFill>
          <a:gsLst>
            <a:gs pos="0">
              <a:schemeClr val="accent5">
                <a:lumMod val="60000"/>
                <a:lumOff val="40000"/>
              </a:schemeClr>
            </a:gs>
            <a:gs pos="50000">
              <a:srgbClr val="4F81BD">
                <a:tint val="44500"/>
                <a:satMod val="160000"/>
              </a:srgbClr>
            </a:gs>
            <a:gs pos="100000">
              <a:srgbClr val="4F81BD">
                <a:tint val="23500"/>
                <a:satMod val="160000"/>
              </a:srgbClr>
            </a:gs>
          </a:gsLst>
          <a:lin ang="5400000" scaled="0"/>
        </a:gradFill>
      </c:spPr>
    </c:plotArea>
    <c:plotVisOnly val="1"/>
    <c:dispBlanksAs val="gap"/>
    <c:showDLblsOverMax val="0"/>
  </c:chart>
  <c:spPr>
    <a:solidFill>
      <a:schemeClr val="accent5">
        <a:lumMod val="40000"/>
        <a:lumOff val="60000"/>
      </a:schemeClr>
    </a:solidFill>
  </c:spPr>
  <c:printSettings>
    <c:headerFooter/>
    <c:pageMargins b="0.75000000000000089" l="0.70000000000000062" r="0.70000000000000062" t="0.75000000000000089"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Mnagement Dashboard_Babyshalini P.xlsx]no 2!PivotTable2</c:name>
    <c:fmtId val="2"/>
  </c:pivotSource>
  <c:chart>
    <c:title>
      <c:tx>
        <c:rich>
          <a:bodyPr/>
          <a:lstStyle/>
          <a:p>
            <a:pPr>
              <a:defRPr>
                <a:solidFill>
                  <a:schemeClr val="accent1">
                    <a:lumMod val="50000"/>
                  </a:schemeClr>
                </a:solidFill>
              </a:defRPr>
            </a:pPr>
            <a:r>
              <a:rPr lang="en-US">
                <a:solidFill>
                  <a:schemeClr val="accent1">
                    <a:lumMod val="50000"/>
                  </a:schemeClr>
                </a:solidFill>
                <a:latin typeface="+mj-lt"/>
              </a:rPr>
              <a:t>Length</a:t>
            </a:r>
            <a:r>
              <a:rPr lang="en-US" baseline="0">
                <a:solidFill>
                  <a:schemeClr val="accent1">
                    <a:lumMod val="50000"/>
                  </a:schemeClr>
                </a:solidFill>
              </a:rPr>
              <a:t> of days</a:t>
            </a:r>
            <a:endParaRPr lang="en-US">
              <a:solidFill>
                <a:schemeClr val="accent1">
                  <a:lumMod val="50000"/>
                </a:schemeClr>
              </a:solidFill>
            </a:endParaRPr>
          </a:p>
        </c:rich>
      </c:tx>
      <c:overlay val="0"/>
      <c:spPr>
        <a:solidFill>
          <a:schemeClr val="accent5">
            <a:lumMod val="60000"/>
            <a:lumOff val="40000"/>
          </a:schemeClr>
        </a:solidFill>
      </c:spPr>
    </c:title>
    <c:autoTitleDeleted val="0"/>
    <c:pivotFmts>
      <c:pivotFmt>
        <c:idx val="0"/>
        <c:marker>
          <c:symbol val="none"/>
        </c:marker>
      </c:pivotFmt>
      <c:pivotFmt>
        <c:idx val="1"/>
      </c:pivotFmt>
      <c:pivotFmt>
        <c:idx val="2"/>
        <c:marker>
          <c:symbol val="none"/>
        </c:marker>
      </c:pivotFmt>
      <c:pivotFmt>
        <c:idx val="3"/>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'no 2'!$B$3</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'no 2'!$A$4:$A$8</c:f>
              <c:strCache>
                <c:ptCount val="4"/>
                <c:pt idx="0">
                  <c:v>General</c:v>
                </c:pt>
                <c:pt idx="1">
                  <c:v>ICU</c:v>
                </c:pt>
                <c:pt idx="2">
                  <c:v>Private</c:v>
                </c:pt>
                <c:pt idx="3">
                  <c:v>Semi-Private</c:v>
                </c:pt>
              </c:strCache>
            </c:strRef>
          </c:cat>
          <c:val>
            <c:numRef>
              <c:f>'no 2'!$B$4:$B$8</c:f>
              <c:numCache>
                <c:formatCode>0.0</c:formatCode>
                <c:ptCount val="4"/>
                <c:pt idx="0">
                  <c:v>9.7519379844961236</c:v>
                </c:pt>
                <c:pt idx="1">
                  <c:v>10.452173913043477</c:v>
                </c:pt>
                <c:pt idx="2">
                  <c:v>10.021428571428572</c:v>
                </c:pt>
                <c:pt idx="3">
                  <c:v>10.336206896551724</c:v>
                </c:pt>
              </c:numCache>
            </c:numRef>
          </c:val>
          <c:extLst>
            <c:ext xmlns:c16="http://schemas.microsoft.com/office/drawing/2014/chart" uri="{C3380CC4-5D6E-409C-BE32-E72D297353CC}">
              <c16:uniqueId val="{00000000-4FB9-4234-8F7B-AE210F6B07F6}"/>
            </c:ext>
          </c:extLst>
        </c:ser>
        <c:dLbls>
          <c:dLblPos val="inEnd"/>
          <c:showLegendKey val="0"/>
          <c:showVal val="1"/>
          <c:showCatName val="0"/>
          <c:showSerName val="0"/>
          <c:showPercent val="0"/>
          <c:showBubbleSize val="0"/>
        </c:dLbls>
        <c:gapWidth val="95"/>
        <c:overlap val="100"/>
        <c:axId val="114663808"/>
        <c:axId val="114665344"/>
      </c:barChart>
      <c:catAx>
        <c:axId val="114663808"/>
        <c:scaling>
          <c:orientation val="minMax"/>
        </c:scaling>
        <c:delete val="0"/>
        <c:axPos val="l"/>
        <c:numFmt formatCode="General" sourceLinked="0"/>
        <c:majorTickMark val="none"/>
        <c:minorTickMark val="none"/>
        <c:tickLblPos val="nextTo"/>
        <c:txPr>
          <a:bodyPr/>
          <a:lstStyle/>
          <a:p>
            <a:pPr>
              <a:defRPr b="1"/>
            </a:pPr>
            <a:endParaRPr lang="en-US"/>
          </a:p>
        </c:txPr>
        <c:crossAx val="114665344"/>
        <c:crosses val="autoZero"/>
        <c:auto val="1"/>
        <c:lblAlgn val="ctr"/>
        <c:lblOffset val="100"/>
        <c:noMultiLvlLbl val="0"/>
      </c:catAx>
      <c:valAx>
        <c:axId val="114665344"/>
        <c:scaling>
          <c:orientation val="minMax"/>
        </c:scaling>
        <c:delete val="1"/>
        <c:axPos val="b"/>
        <c:numFmt formatCode="0.0" sourceLinked="1"/>
        <c:majorTickMark val="out"/>
        <c:minorTickMark val="none"/>
        <c:tickLblPos val="nextTo"/>
        <c:crossAx val="114663808"/>
        <c:crosses val="autoZero"/>
        <c:crossBetween val="between"/>
      </c:valAx>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lotArea>
    <c:plotVisOnly val="1"/>
    <c:dispBlanksAs val="gap"/>
    <c:showDLblsOverMax val="0"/>
  </c:chart>
  <c:spPr>
    <a:gradFill>
      <a:gsLst>
        <a:gs pos="0">
          <a:schemeClr val="accent5">
            <a:lumMod val="60000"/>
            <a:lumOff val="40000"/>
          </a:schemeClr>
        </a:gs>
        <a:gs pos="50000">
          <a:srgbClr val="4F81BD">
            <a:tint val="44500"/>
            <a:satMod val="160000"/>
          </a:srgbClr>
        </a:gs>
        <a:gs pos="100000">
          <a:srgbClr val="4F81BD">
            <a:tint val="23500"/>
            <a:satMod val="160000"/>
          </a:srgbClr>
        </a:gs>
      </a:gsLst>
      <a:lin ang="5400000" scaled="0"/>
    </a:gradFill>
  </c:spPr>
  <c:printSettings>
    <c:headerFooter/>
    <c:pageMargins b="0.75000000000000089" l="0.70000000000000062" r="0.70000000000000062" t="0.75000000000000089"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Mnagement Dashboard_Babyshalini P.xlsx]no 3!PivotTable3</c:name>
    <c:fmtId val="2"/>
  </c:pivotSource>
  <c:chart>
    <c:autoTitleDeleted val="1"/>
    <c:pivotFmts>
      <c:pivotFmt>
        <c:idx val="0"/>
        <c:marker>
          <c:symbol val="none"/>
        </c:marker>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s>
    <c:view3D>
      <c:rotX val="15"/>
      <c:rotY val="20"/>
      <c:rAngAx val="1"/>
    </c:view3D>
    <c:floor>
      <c:thickness val="0"/>
    </c:floor>
    <c:sideWall>
      <c:thickness val="0"/>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sideWall>
    <c:backWall>
      <c:thickness val="0"/>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backWall>
    <c:plotArea>
      <c:layout/>
      <c:bar3DChart>
        <c:barDir val="col"/>
        <c:grouping val="clustered"/>
        <c:varyColors val="0"/>
        <c:ser>
          <c:idx val="0"/>
          <c:order val="0"/>
          <c:tx>
            <c:strRef>
              <c:f>'no 3'!$B$3</c:f>
              <c:strCache>
                <c:ptCount val="1"/>
                <c:pt idx="0">
                  <c:v>Total</c:v>
                </c:pt>
              </c:strCache>
            </c:strRef>
          </c:tx>
          <c:invertIfNegative val="0"/>
          <c:cat>
            <c:strRef>
              <c:f>'no 3'!$A$4:$A$10</c:f>
              <c:strCache>
                <c:ptCount val="6"/>
                <c:pt idx="0">
                  <c:v>Dr. Iyer</c:v>
                </c:pt>
                <c:pt idx="1">
                  <c:v>Dr. Mehta</c:v>
                </c:pt>
                <c:pt idx="2">
                  <c:v>Dr. Patel</c:v>
                </c:pt>
                <c:pt idx="3">
                  <c:v>Dr. Rao</c:v>
                </c:pt>
                <c:pt idx="4">
                  <c:v>Dr. Sharma</c:v>
                </c:pt>
                <c:pt idx="5">
                  <c:v>Dr. Singh</c:v>
                </c:pt>
              </c:strCache>
            </c:strRef>
          </c:cat>
          <c:val>
            <c:numRef>
              <c:f>'no 3'!$B$4:$B$10</c:f>
              <c:numCache>
                <c:formatCode>"₹"\ #,##0</c:formatCode>
                <c:ptCount val="6"/>
                <c:pt idx="0">
                  <c:v>9841975</c:v>
                </c:pt>
                <c:pt idx="1">
                  <c:v>11337381</c:v>
                </c:pt>
                <c:pt idx="2">
                  <c:v>11089570</c:v>
                </c:pt>
                <c:pt idx="3">
                  <c:v>10589294</c:v>
                </c:pt>
                <c:pt idx="4">
                  <c:v>11937073</c:v>
                </c:pt>
                <c:pt idx="5">
                  <c:v>9152627</c:v>
                </c:pt>
              </c:numCache>
            </c:numRef>
          </c:val>
          <c:extLst>
            <c:ext xmlns:c16="http://schemas.microsoft.com/office/drawing/2014/chart" uri="{C3380CC4-5D6E-409C-BE32-E72D297353CC}">
              <c16:uniqueId val="{00000000-5FC9-4917-ACD7-56DF4DAA4CD6}"/>
            </c:ext>
          </c:extLst>
        </c:ser>
        <c:dLbls>
          <c:showLegendKey val="0"/>
          <c:showVal val="0"/>
          <c:showCatName val="0"/>
          <c:showSerName val="0"/>
          <c:showPercent val="0"/>
          <c:showBubbleSize val="0"/>
        </c:dLbls>
        <c:gapWidth val="75"/>
        <c:shape val="cone"/>
        <c:axId val="114706304"/>
        <c:axId val="114707840"/>
        <c:axId val="0"/>
      </c:bar3DChart>
      <c:catAx>
        <c:axId val="114706304"/>
        <c:scaling>
          <c:orientation val="minMax"/>
        </c:scaling>
        <c:delete val="0"/>
        <c:axPos val="b"/>
        <c:numFmt formatCode="General" sourceLinked="0"/>
        <c:majorTickMark val="none"/>
        <c:minorTickMark val="none"/>
        <c:tickLblPos val="nextTo"/>
        <c:txPr>
          <a:bodyPr/>
          <a:lstStyle/>
          <a:p>
            <a:pPr>
              <a:defRPr b="1"/>
            </a:pPr>
            <a:endParaRPr lang="en-US"/>
          </a:p>
        </c:txPr>
        <c:crossAx val="114707840"/>
        <c:crosses val="autoZero"/>
        <c:auto val="1"/>
        <c:lblAlgn val="ctr"/>
        <c:lblOffset val="100"/>
        <c:noMultiLvlLbl val="0"/>
      </c:catAx>
      <c:valAx>
        <c:axId val="114707840"/>
        <c:scaling>
          <c:orientation val="minMax"/>
        </c:scaling>
        <c:delete val="0"/>
        <c:axPos val="l"/>
        <c:numFmt formatCode="&quot;₹&quot;\ #,##0" sourceLinked="1"/>
        <c:majorTickMark val="none"/>
        <c:minorTickMark val="none"/>
        <c:tickLblPos val="nextTo"/>
        <c:txPr>
          <a:bodyPr/>
          <a:lstStyle/>
          <a:p>
            <a:pPr>
              <a:defRPr b="1"/>
            </a:pPr>
            <a:endParaRPr lang="en-US"/>
          </a:p>
        </c:txPr>
        <c:crossAx val="114706304"/>
        <c:crosses val="autoZero"/>
        <c:crossBetween val="between"/>
      </c:valAx>
    </c:plotArea>
    <c:plotVisOnly val="1"/>
    <c:dispBlanksAs val="gap"/>
    <c:showDLblsOverMax val="0"/>
  </c:chart>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089" l="0.70000000000000062" r="0.70000000000000062" t="0.75000000000000089"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Mnagement Dashboard_Babyshalini P.xlsx]no 4!PivotTable4</c:name>
    <c:fmtId val="2"/>
  </c:pivotSource>
  <c:chart>
    <c:title>
      <c:tx>
        <c:rich>
          <a:bodyPr/>
          <a:lstStyle/>
          <a:p>
            <a:pPr>
              <a:defRPr b="1">
                <a:solidFill>
                  <a:schemeClr val="accent1">
                    <a:lumMod val="50000"/>
                  </a:schemeClr>
                </a:solidFill>
                <a:latin typeface="+mj-lt"/>
              </a:defRPr>
            </a:pPr>
            <a:r>
              <a:rPr lang="en-US" b="1">
                <a:solidFill>
                  <a:schemeClr val="accent1">
                    <a:lumMod val="50000"/>
                  </a:schemeClr>
                </a:solidFill>
                <a:latin typeface="+mj-lt"/>
              </a:rPr>
              <a:t>Payment</a:t>
            </a:r>
            <a:r>
              <a:rPr lang="en-US" b="1" baseline="0">
                <a:solidFill>
                  <a:schemeClr val="accent1">
                    <a:lumMod val="50000"/>
                  </a:schemeClr>
                </a:solidFill>
                <a:latin typeface="+mj-lt"/>
              </a:rPr>
              <a:t> method</a:t>
            </a:r>
            <a:endParaRPr lang="en-US" b="1">
              <a:solidFill>
                <a:schemeClr val="accent1">
                  <a:lumMod val="50000"/>
                </a:schemeClr>
              </a:solidFill>
              <a:latin typeface="+mj-lt"/>
            </a:endParaRPr>
          </a:p>
        </c:rich>
      </c:tx>
      <c:layout>
        <c:manualLayout>
          <c:xMode val="edge"/>
          <c:yMode val="edge"/>
          <c:x val="0.24607553366174059"/>
          <c:y val="2.9411764705882353E-2"/>
        </c:manualLayout>
      </c:layout>
      <c:overlay val="0"/>
    </c:title>
    <c:autoTitleDeleted val="0"/>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'no 4'!$B$3</c:f>
              <c:strCache>
                <c:ptCount val="1"/>
                <c:pt idx="0">
                  <c:v>Total</c:v>
                </c:pt>
              </c:strCache>
            </c:strRef>
          </c:tx>
          <c:cat>
            <c:strRef>
              <c:f>'no 4'!$A$4:$A$8</c:f>
              <c:strCache>
                <c:ptCount val="4"/>
                <c:pt idx="0">
                  <c:v>Card</c:v>
                </c:pt>
                <c:pt idx="1">
                  <c:v>Cash</c:v>
                </c:pt>
                <c:pt idx="2">
                  <c:v>Insurance</c:v>
                </c:pt>
                <c:pt idx="3">
                  <c:v>UPI</c:v>
                </c:pt>
              </c:strCache>
            </c:strRef>
          </c:cat>
          <c:val>
            <c:numRef>
              <c:f>'no 4'!$B$4:$B$8</c:f>
              <c:numCache>
                <c:formatCode>General</c:formatCode>
                <c:ptCount val="4"/>
                <c:pt idx="0">
                  <c:v>17082133</c:v>
                </c:pt>
                <c:pt idx="1">
                  <c:v>14909504</c:v>
                </c:pt>
                <c:pt idx="2">
                  <c:v>17348861</c:v>
                </c:pt>
                <c:pt idx="3">
                  <c:v>14607422</c:v>
                </c:pt>
              </c:numCache>
            </c:numRef>
          </c:val>
          <c:extLst>
            <c:ext xmlns:c16="http://schemas.microsoft.com/office/drawing/2014/chart" uri="{C3380CC4-5D6E-409C-BE32-E72D297353CC}">
              <c16:uniqueId val="{00000000-816A-4E66-A381-4AB2D688D668}"/>
            </c:ext>
          </c:extLst>
        </c:ser>
        <c:dLbls>
          <c:showLegendKey val="0"/>
          <c:showVal val="0"/>
          <c:showCatName val="0"/>
          <c:showSerName val="0"/>
          <c:showPercent val="0"/>
          <c:showBubbleSize val="0"/>
          <c:showLeaderLines val="1"/>
        </c:dLbls>
        <c:firstSliceAng val="0"/>
      </c:pieChart>
    </c:plotArea>
    <c:legend>
      <c:legendPos val="r"/>
      <c:overlay val="0"/>
      <c:txPr>
        <a:bodyPr/>
        <a:lstStyle/>
        <a:p>
          <a:pPr>
            <a:defRPr b="1"/>
          </a:pPr>
          <a:endParaRPr lang="en-US"/>
        </a:p>
      </c:txPr>
    </c:legend>
    <c:plotVisOnly val="1"/>
    <c:dispBlanksAs val="zero"/>
    <c:showDLblsOverMax val="0"/>
  </c:chart>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089" l="0.70000000000000062" r="0.70000000000000062" t="0.75000000000000089"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Mnagement Dashboard_Babyshalini P.xlsx]no 5!PivotTable5</c:name>
    <c:fmtId val="3"/>
  </c:pivotSource>
  <c:chart>
    <c:title>
      <c:tx>
        <c:rich>
          <a:bodyPr/>
          <a:lstStyle/>
          <a:p>
            <a:pPr>
              <a:defRPr>
                <a:solidFill>
                  <a:schemeClr val="accent1">
                    <a:lumMod val="50000"/>
                  </a:schemeClr>
                </a:solidFill>
                <a:latin typeface="+mj-lt"/>
              </a:defRPr>
            </a:pPr>
            <a:r>
              <a:rPr lang="en-US">
                <a:solidFill>
                  <a:schemeClr val="accent1">
                    <a:lumMod val="50000"/>
                  </a:schemeClr>
                </a:solidFill>
                <a:latin typeface="+mj-lt"/>
              </a:rPr>
              <a:t>Recovery</a:t>
            </a:r>
            <a:r>
              <a:rPr lang="en-US" baseline="0">
                <a:solidFill>
                  <a:schemeClr val="accent1">
                    <a:lumMod val="50000"/>
                  </a:schemeClr>
                </a:solidFill>
                <a:latin typeface="+mj-lt"/>
              </a:rPr>
              <a:t> rate</a:t>
            </a:r>
            <a:endParaRPr lang="en-US">
              <a:solidFill>
                <a:schemeClr val="accent1">
                  <a:lumMod val="50000"/>
                </a:schemeClr>
              </a:solidFill>
              <a:latin typeface="+mj-lt"/>
            </a:endParaRPr>
          </a:p>
        </c:rich>
      </c:tx>
      <c:overlay val="0"/>
    </c:title>
    <c:autoTitleDeleted val="0"/>
    <c:pivotFmts>
      <c:pivotFmt>
        <c:idx val="0"/>
        <c:marker>
          <c:symbol val="none"/>
        </c:marker>
        <c:dLbl>
          <c:idx val="0"/>
          <c:spPr/>
          <c:txPr>
            <a:bodyPr/>
            <a:lstStyle/>
            <a:p>
              <a:pPr>
                <a:defRPr b="1"/>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32500000000000046"/>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29166666666666724"/>
              <c:y val="-4.6296296296296372E-3"/>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30000000000000032"/>
              <c:y val="-9.2592592592592865E-3"/>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27222222222222231"/>
              <c:y val="-4.6296296296295903E-3"/>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29166666666666713"/>
              <c:y val="-1.388888888888891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27222222222222231"/>
              <c:y val="-4.6296296296296372E-3"/>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2798833819241989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3994169096209938"/>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23323615160349875"/>
              <c:y val="5.649717514124293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26822157434402338"/>
              <c:y val="-5.649717514124293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24489795918367346"/>
              <c:y val="-2.259887005649718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0.19825072886297376"/>
              <c:y val="-1.129943502824858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4"/>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0.24489795918367346"/>
              <c:y val="-2.259887005649718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19825072886297376"/>
              <c:y val="-1.129943502824858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27988338192419893"/>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13994169096209938"/>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23323615160349875"/>
              <c:y val="5.649717514124293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26822157434402338"/>
              <c:y val="-5.649717514124293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1"/>
        <c:marker>
          <c:symbol val="none"/>
        </c:marker>
        <c:dLbl>
          <c:idx val="0"/>
          <c:delete val="1"/>
          <c:extLst>
            <c:ext xmlns:c15="http://schemas.microsoft.com/office/drawing/2012/chart" uri="{CE6537A1-D6FC-4f65-9D91-7224C49458BB}"/>
          </c:extLst>
        </c:dLbl>
      </c:pivotFmt>
      <c:pivotFmt>
        <c:idx val="22"/>
      </c:pivotFmt>
      <c:pivotFmt>
        <c:idx val="23"/>
      </c:pivotFmt>
      <c:pivotFmt>
        <c:idx val="24"/>
      </c:pivotFmt>
      <c:pivotFmt>
        <c:idx val="25"/>
      </c:pivotFmt>
      <c:pivotFmt>
        <c:idx val="26"/>
      </c:pivotFmt>
      <c:pivotFmt>
        <c:idx val="27"/>
      </c:pivotFmt>
    </c:pivotFmts>
    <c:view3D>
      <c:rotX val="15"/>
      <c:rotY val="20"/>
      <c:rAngAx val="1"/>
    </c:view3D>
    <c:floor>
      <c:thickness val="0"/>
    </c:floor>
    <c:sideWall>
      <c:thickness val="0"/>
    </c:sideWall>
    <c:backWall>
      <c:thickness val="0"/>
    </c:backWall>
    <c:plotArea>
      <c:layout/>
      <c:bar3DChart>
        <c:barDir val="bar"/>
        <c:grouping val="stacked"/>
        <c:varyColors val="0"/>
        <c:ser>
          <c:idx val="0"/>
          <c:order val="0"/>
          <c:tx>
            <c:strRef>
              <c:f>'no 5'!$B$3</c:f>
              <c:strCache>
                <c:ptCount val="1"/>
                <c:pt idx="0">
                  <c:v>Total</c:v>
                </c:pt>
              </c:strCache>
            </c:strRef>
          </c:tx>
          <c:invertIfNegative val="0"/>
          <c:cat>
            <c:strRef>
              <c:f>'no 5'!$A$4:$A$10</c:f>
              <c:strCache>
                <c:ptCount val="6"/>
                <c:pt idx="0">
                  <c:v>Cardiology</c:v>
                </c:pt>
                <c:pt idx="1">
                  <c:v>General Medicine</c:v>
                </c:pt>
                <c:pt idx="2">
                  <c:v>Gynecology</c:v>
                </c:pt>
                <c:pt idx="3">
                  <c:v>Neurology</c:v>
                </c:pt>
                <c:pt idx="4">
                  <c:v>Orthopedics</c:v>
                </c:pt>
                <c:pt idx="5">
                  <c:v>Pediatrics</c:v>
                </c:pt>
              </c:strCache>
            </c:strRef>
          </c:cat>
          <c:val>
            <c:numRef>
              <c:f>'no 5'!$B$4:$B$10</c:f>
              <c:numCache>
                <c:formatCode>0.0%</c:formatCode>
                <c:ptCount val="6"/>
                <c:pt idx="0">
                  <c:v>0.17886178861788618</c:v>
                </c:pt>
                <c:pt idx="1">
                  <c:v>0.14634146341463414</c:v>
                </c:pt>
                <c:pt idx="2">
                  <c:v>0.21138211382113822</c:v>
                </c:pt>
                <c:pt idx="3">
                  <c:v>8.943089430894309E-2</c:v>
                </c:pt>
                <c:pt idx="4">
                  <c:v>0.17073170731707318</c:v>
                </c:pt>
                <c:pt idx="5">
                  <c:v>0.2032520325203252</c:v>
                </c:pt>
              </c:numCache>
            </c:numRef>
          </c:val>
          <c:extLst>
            <c:ext xmlns:c16="http://schemas.microsoft.com/office/drawing/2014/chart" uri="{C3380CC4-5D6E-409C-BE32-E72D297353CC}">
              <c16:uniqueId val="{00000000-7D52-4F4D-AE26-CF79C7EE90DA}"/>
            </c:ext>
          </c:extLst>
        </c:ser>
        <c:dLbls>
          <c:showLegendKey val="0"/>
          <c:showVal val="0"/>
          <c:showCatName val="0"/>
          <c:showSerName val="0"/>
          <c:showPercent val="0"/>
          <c:showBubbleSize val="0"/>
        </c:dLbls>
        <c:gapWidth val="95"/>
        <c:gapDepth val="95"/>
        <c:shape val="cone"/>
        <c:axId val="114846336"/>
        <c:axId val="114872704"/>
        <c:axId val="0"/>
      </c:bar3DChart>
      <c:catAx>
        <c:axId val="114846336"/>
        <c:scaling>
          <c:orientation val="minMax"/>
        </c:scaling>
        <c:delete val="0"/>
        <c:axPos val="l"/>
        <c:numFmt formatCode="General" sourceLinked="0"/>
        <c:majorTickMark val="none"/>
        <c:minorTickMark val="none"/>
        <c:tickLblPos val="nextTo"/>
        <c:txPr>
          <a:bodyPr/>
          <a:lstStyle/>
          <a:p>
            <a:pPr>
              <a:defRPr b="1"/>
            </a:pPr>
            <a:endParaRPr lang="en-US"/>
          </a:p>
        </c:txPr>
        <c:crossAx val="114872704"/>
        <c:crosses val="autoZero"/>
        <c:auto val="1"/>
        <c:lblAlgn val="ctr"/>
        <c:lblOffset val="100"/>
        <c:noMultiLvlLbl val="0"/>
      </c:catAx>
      <c:valAx>
        <c:axId val="114872704"/>
        <c:scaling>
          <c:orientation val="minMax"/>
        </c:scaling>
        <c:delete val="1"/>
        <c:axPos val="b"/>
        <c:numFmt formatCode="0.0%" sourceLinked="1"/>
        <c:majorTickMark val="none"/>
        <c:minorTickMark val="none"/>
        <c:tickLblPos val="nextTo"/>
        <c:crossAx val="114846336"/>
        <c:crosses val="autoZero"/>
        <c:crossBetween val="between"/>
      </c:valAx>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lotArea>
    <c:plotVisOnly val="1"/>
    <c:dispBlanksAs val="gap"/>
    <c:showDLblsOverMax val="0"/>
  </c:chart>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089" l="0.70000000000000062" r="0.70000000000000062" t="0.75000000000000089"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Mnagement Dashboard_Babyshalini P.xlsx]no 6!PivotTable6</c:name>
    <c:fmtId val="2"/>
  </c:pivotSource>
  <c:chart>
    <c:title>
      <c:tx>
        <c:rich>
          <a:bodyPr/>
          <a:lstStyle/>
          <a:p>
            <a:pPr>
              <a:defRPr>
                <a:solidFill>
                  <a:schemeClr val="accent1">
                    <a:lumMod val="50000"/>
                  </a:schemeClr>
                </a:solidFill>
                <a:latin typeface="+mj-lt"/>
              </a:defRPr>
            </a:pPr>
            <a:r>
              <a:rPr lang="en-US">
                <a:solidFill>
                  <a:schemeClr val="accent1">
                    <a:lumMod val="50000"/>
                  </a:schemeClr>
                </a:solidFill>
                <a:latin typeface="+mj-lt"/>
              </a:rPr>
              <a:t>Avg</a:t>
            </a:r>
            <a:r>
              <a:rPr lang="en-US" baseline="0">
                <a:solidFill>
                  <a:schemeClr val="accent1">
                    <a:lumMod val="50000"/>
                  </a:schemeClr>
                </a:solidFill>
                <a:latin typeface="+mj-lt"/>
              </a:rPr>
              <a:t> total bill</a:t>
            </a:r>
            <a:endParaRPr lang="en-US">
              <a:solidFill>
                <a:schemeClr val="accent1">
                  <a:lumMod val="50000"/>
                </a:schemeClr>
              </a:solidFill>
              <a:latin typeface="+mj-lt"/>
            </a:endParaRPr>
          </a:p>
        </c:rich>
      </c:tx>
      <c:overlay val="0"/>
    </c:title>
    <c:autoTitleDeleted val="0"/>
    <c:pivotFmts>
      <c:pivotFmt>
        <c:idx val="0"/>
        <c:marker>
          <c:symbol val="none"/>
        </c:marker>
        <c:dLbl>
          <c:idx val="0"/>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6666666666666691E-2"/>
              <c:y val="-5.5555555555555469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
              <c:y val="-6.0185185185185147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5.0925337632080255E-17"/>
              <c:y val="-5.5555555555555469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3888888888888914E-2"/>
              <c:y val="-8.7962962962963104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555555555554465E-3"/>
              <c:y val="-4.1666666666666664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6666666666666691E-2"/>
              <c:y val="-5.5555555555555469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
              <c:y val="-6.0185185185185147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5.0925337632080255E-17"/>
              <c:y val="-5.5555555555555469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3888888888888914E-2"/>
              <c:y val="-8.7962962962963104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5.5555555555554465E-3"/>
              <c:y val="-4.1666666666666664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1.6666666666666691E-2"/>
              <c:y val="-5.5555555555555469E-2"/>
            </c:manualLayout>
          </c:layout>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
              <c:y val="-6.0185185185185147E-2"/>
            </c:manualLayout>
          </c:layout>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5.0925337632080255E-17"/>
              <c:y val="-5.5555555555555469E-2"/>
            </c:manualLayout>
          </c:layout>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1.3888888888888914E-2"/>
              <c:y val="-8.7962962962963104E-2"/>
            </c:manualLayout>
          </c:layout>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5555555555554465E-3"/>
              <c:y val="-4.1666666666666664E-2"/>
            </c:manualLayout>
          </c:layout>
          <c:spPr/>
          <c:txPr>
            <a:bodyPr/>
            <a:lstStyle/>
            <a:p>
              <a:pPr>
                <a:defRPr b="1"/>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'no 6'!$B$3</c:f>
              <c:strCache>
                <c:ptCount val="1"/>
                <c:pt idx="0">
                  <c:v>Total</c:v>
                </c:pt>
              </c:strCache>
            </c:strRef>
          </c:tx>
          <c:marker>
            <c:symbol val="none"/>
          </c:marker>
          <c:dLbls>
            <c:dLbl>
              <c:idx val="0"/>
              <c:layout>
                <c:manualLayout>
                  <c:x val="-1.6666666666666691E-2"/>
                  <c:y val="-5.555555555555546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8C-46DA-BA53-9E95C13C469C}"/>
                </c:ext>
              </c:extLst>
            </c:dLbl>
            <c:dLbl>
              <c:idx val="1"/>
              <c:layout>
                <c:manualLayout>
                  <c:x val="0"/>
                  <c:y val="-6.018518518518514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8C-46DA-BA53-9E95C13C469C}"/>
                </c:ext>
              </c:extLst>
            </c:dLbl>
            <c:dLbl>
              <c:idx val="2"/>
              <c:layout>
                <c:manualLayout>
                  <c:x val="-5.0925337632080255E-17"/>
                  <c:y val="-5.5555555555555469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8C-46DA-BA53-9E95C13C469C}"/>
                </c:ext>
              </c:extLst>
            </c:dLbl>
            <c:dLbl>
              <c:idx val="3"/>
              <c:layout>
                <c:manualLayout>
                  <c:x val="-1.3888888888888914E-2"/>
                  <c:y val="-8.796296296296310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8C-46DA-BA53-9E95C13C469C}"/>
                </c:ext>
              </c:extLst>
            </c:dLbl>
            <c:dLbl>
              <c:idx val="4"/>
              <c:layout>
                <c:manualLayout>
                  <c:x val="5.5555555555554465E-3"/>
                  <c:y val="-4.1666666666666664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8C-46DA-BA53-9E95C13C469C}"/>
                </c:ext>
              </c:extLst>
            </c:dLbl>
            <c:spPr/>
            <c:txPr>
              <a:bodyPr/>
              <a:lstStyle/>
              <a:p>
                <a:pPr>
                  <a:defRPr b="1"/>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'no 6'!$A$4:$A$9</c:f>
              <c:strCache>
                <c:ptCount val="5"/>
                <c:pt idx="0">
                  <c:v>HDFC Ergo</c:v>
                </c:pt>
                <c:pt idx="1">
                  <c:v>ICICI Lombard</c:v>
                </c:pt>
                <c:pt idx="2">
                  <c:v>New India Assurance</c:v>
                </c:pt>
                <c:pt idx="3">
                  <c:v>None</c:v>
                </c:pt>
                <c:pt idx="4">
                  <c:v>Star Health</c:v>
                </c:pt>
              </c:strCache>
            </c:strRef>
          </c:cat>
          <c:val>
            <c:numRef>
              <c:f>'no 6'!$B$4:$B$9</c:f>
              <c:numCache>
                <c:formatCode>0.0</c:formatCode>
                <c:ptCount val="5"/>
                <c:pt idx="0">
                  <c:v>123512.61616161616</c:v>
                </c:pt>
                <c:pt idx="1">
                  <c:v>126178.25</c:v>
                </c:pt>
                <c:pt idx="2">
                  <c:v>127774.92307692308</c:v>
                </c:pt>
                <c:pt idx="3">
                  <c:v>121623.12621359223</c:v>
                </c:pt>
                <c:pt idx="4">
                  <c:v>139279.41071428571</c:v>
                </c:pt>
              </c:numCache>
            </c:numRef>
          </c:val>
          <c:smooth val="0"/>
          <c:extLst>
            <c:ext xmlns:c16="http://schemas.microsoft.com/office/drawing/2014/chart" uri="{C3380CC4-5D6E-409C-BE32-E72D297353CC}">
              <c16:uniqueId val="{00000005-6B8C-46DA-BA53-9E95C13C469C}"/>
            </c:ext>
          </c:extLst>
        </c:ser>
        <c:dLbls>
          <c:showLegendKey val="0"/>
          <c:showVal val="1"/>
          <c:showCatName val="0"/>
          <c:showSerName val="0"/>
          <c:showPercent val="0"/>
          <c:showBubbleSize val="0"/>
        </c:dLbls>
        <c:smooth val="0"/>
        <c:axId val="114814336"/>
        <c:axId val="114435200"/>
      </c:lineChart>
      <c:catAx>
        <c:axId val="114814336"/>
        <c:scaling>
          <c:orientation val="minMax"/>
        </c:scaling>
        <c:delete val="0"/>
        <c:axPos val="b"/>
        <c:numFmt formatCode="General" sourceLinked="0"/>
        <c:majorTickMark val="none"/>
        <c:minorTickMark val="none"/>
        <c:tickLblPos val="nextTo"/>
        <c:spPr>
          <a:ln w="9525">
            <a:noFill/>
          </a:ln>
        </c:spPr>
        <c:txPr>
          <a:bodyPr/>
          <a:lstStyle/>
          <a:p>
            <a:pPr>
              <a:defRPr b="1"/>
            </a:pPr>
            <a:endParaRPr lang="en-US"/>
          </a:p>
        </c:txPr>
        <c:crossAx val="114435200"/>
        <c:crosses val="autoZero"/>
        <c:auto val="1"/>
        <c:lblAlgn val="ctr"/>
        <c:lblOffset val="100"/>
        <c:noMultiLvlLbl val="0"/>
      </c:catAx>
      <c:valAx>
        <c:axId val="114435200"/>
        <c:scaling>
          <c:orientation val="minMax"/>
        </c:scaling>
        <c:delete val="1"/>
        <c:axPos val="l"/>
        <c:numFmt formatCode="0.0" sourceLinked="1"/>
        <c:majorTickMark val="none"/>
        <c:minorTickMark val="none"/>
        <c:tickLblPos val="nextTo"/>
        <c:crossAx val="114814336"/>
        <c:crosses val="autoZero"/>
        <c:crossBetween val="between"/>
      </c:valAx>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lotArea>
    <c:plotVisOnly val="1"/>
    <c:dispBlanksAs val="gap"/>
    <c:showDLblsOverMax val="0"/>
  </c:chart>
  <c:spPr>
    <a:gradFill>
      <a:gsLst>
        <a:gs pos="0">
          <a:srgbClr val="4BACC6">
            <a:lumMod val="60000"/>
            <a:lumOff val="40000"/>
          </a:srgbClr>
        </a:gs>
        <a:gs pos="50000">
          <a:srgbClr val="4F81BD">
            <a:tint val="44500"/>
            <a:satMod val="160000"/>
          </a:srgbClr>
        </a:gs>
        <a:gs pos="100000">
          <a:srgbClr val="4F81BD">
            <a:tint val="23500"/>
            <a:satMod val="160000"/>
          </a:srgbClr>
        </a:gs>
      </a:gsLst>
      <a:lin ang="5400000" scaled="0"/>
    </a:gradFill>
  </c:spPr>
  <c:printSettings>
    <c:headerFooter/>
    <c:pageMargins b="0.75000000000000089" l="0.70000000000000062" r="0.70000000000000062" t="0.75000000000000089"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171450</xdr:colOff>
      <xdr:row>5</xdr:row>
      <xdr:rowOff>161925</xdr:rowOff>
    </xdr:from>
    <xdr:to>
      <xdr:col>8</xdr:col>
      <xdr:colOff>552450</xdr:colOff>
      <xdr:row>18</xdr:row>
      <xdr:rowOff>66674</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104775</xdr:colOff>
      <xdr:row>6</xdr:row>
      <xdr:rowOff>19050</xdr:rowOff>
    </xdr:from>
    <xdr:to>
      <xdr:col>10</xdr:col>
      <xdr:colOff>409575</xdr:colOff>
      <xdr:row>20</xdr:row>
      <xdr:rowOff>95250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419100</xdr:colOff>
      <xdr:row>5</xdr:row>
      <xdr:rowOff>161925</xdr:rowOff>
    </xdr:from>
    <xdr:to>
      <xdr:col>10</xdr:col>
      <xdr:colOff>28575</xdr:colOff>
      <xdr:row>18</xdr:row>
      <xdr:rowOff>161925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419101</xdr:colOff>
      <xdr:row>5</xdr:row>
      <xdr:rowOff>161925</xdr:rowOff>
    </xdr:from>
    <xdr:to>
      <xdr:col>8</xdr:col>
      <xdr:colOff>590551</xdr:colOff>
      <xdr:row>18</xdr:row>
      <xdr:rowOff>161925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412750</xdr:colOff>
      <xdr:row>5</xdr:row>
      <xdr:rowOff>177800</xdr:rowOff>
    </xdr:from>
    <xdr:to>
      <xdr:col>8</xdr:col>
      <xdr:colOff>22225</xdr:colOff>
      <xdr:row>17</xdr:row>
      <xdr:rowOff>139700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311150</xdr:colOff>
      <xdr:row>23</xdr:row>
      <xdr:rowOff>165100</xdr:rowOff>
    </xdr:from>
    <xdr:to>
      <xdr:col>9</xdr:col>
      <xdr:colOff>311150</xdr:colOff>
      <xdr:row>37</xdr:row>
      <xdr:rowOff>111125</xdr:rowOff>
    </xdr:to>
    <xdr:sp macro="" textlink="">
      <xdr:nvSpPr>
        <xdr:cNvPr id="3" name="Rectangle 2">
          <a:extLst>
            <a:ext uri="{FF2B5EF4-FFF2-40B4-BE49-F238E27FC236}">
              <a16:creationId xmlns:a16="http://schemas.microsoft.com/office/drawing/2014/main" id="{00000000-0008-0000-0400-000003000000}"/>
            </a:ext>
          </a:extLst>
        </xdr:cNvPr>
        <xdr:cNvSpPr>
          <a:spLocks noTextEdit="1"/>
        </xdr:cNvSpPr>
      </xdr:nvSpPr>
      <xdr:spPr>
        <a:xfrm>
          <a:off x="5314950" y="4400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7</xdr:col>
      <xdr:colOff>177800</xdr:colOff>
      <xdr:row>26</xdr:row>
      <xdr:rowOff>88900</xdr:rowOff>
    </xdr:from>
    <xdr:to>
      <xdr:col>10</xdr:col>
      <xdr:colOff>177800</xdr:colOff>
      <xdr:row>40</xdr:row>
      <xdr:rowOff>34925</xdr:rowOff>
    </xdr:to>
    <xdr:sp macro="" textlink="">
      <xdr:nvSpPr>
        <xdr:cNvPr id="4" name="Rectangle 3">
          <a:extLst>
            <a:ext uri="{FF2B5EF4-FFF2-40B4-BE49-F238E27FC236}">
              <a16:creationId xmlns:a16="http://schemas.microsoft.com/office/drawing/2014/main" id="{00000000-0008-0000-0400-000004000000}"/>
            </a:ext>
          </a:extLst>
        </xdr:cNvPr>
        <xdr:cNvSpPr>
          <a:spLocks noTextEdit="1"/>
        </xdr:cNvSpPr>
      </xdr:nvSpPr>
      <xdr:spPr>
        <a:xfrm>
          <a:off x="5791200" y="487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8</xdr:col>
      <xdr:colOff>44450</xdr:colOff>
      <xdr:row>29</xdr:row>
      <xdr:rowOff>12700</xdr:rowOff>
    </xdr:from>
    <xdr:to>
      <xdr:col>11</xdr:col>
      <xdr:colOff>44450</xdr:colOff>
      <xdr:row>42</xdr:row>
      <xdr:rowOff>142875</xdr:rowOff>
    </xdr:to>
    <xdr:sp macro="" textlink="">
      <xdr:nvSpPr>
        <xdr:cNvPr id="5" name="Rectangle 4">
          <a:extLst>
            <a:ext uri="{FF2B5EF4-FFF2-40B4-BE49-F238E27FC236}">
              <a16:creationId xmlns:a16="http://schemas.microsoft.com/office/drawing/2014/main" id="{00000000-0008-0000-0400-000005000000}"/>
            </a:ext>
          </a:extLst>
        </xdr:cNvPr>
        <xdr:cNvSpPr>
          <a:spLocks noTextEdit="1"/>
        </xdr:cNvSpPr>
      </xdr:nvSpPr>
      <xdr:spPr>
        <a:xfrm>
          <a:off x="6267450" y="5353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8</xdr:col>
      <xdr:colOff>520700</xdr:colOff>
      <xdr:row>31</xdr:row>
      <xdr:rowOff>120650</xdr:rowOff>
    </xdr:from>
    <xdr:to>
      <xdr:col>11</xdr:col>
      <xdr:colOff>520700</xdr:colOff>
      <xdr:row>45</xdr:row>
      <xdr:rowOff>66675</xdr:rowOff>
    </xdr:to>
    <xdr:sp macro="" textlink="">
      <xdr:nvSpPr>
        <xdr:cNvPr id="6" name="Rectangle 5">
          <a:extLst>
            <a:ext uri="{FF2B5EF4-FFF2-40B4-BE49-F238E27FC236}">
              <a16:creationId xmlns:a16="http://schemas.microsoft.com/office/drawing/2014/main" id="{00000000-0008-0000-0400-000006000000}"/>
            </a:ext>
          </a:extLst>
        </xdr:cNvPr>
        <xdr:cNvSpPr>
          <a:spLocks noTextEdit="1"/>
        </xdr:cNvSpPr>
      </xdr:nvSpPr>
      <xdr:spPr>
        <a:xfrm>
          <a:off x="6743700" y="5829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9</xdr:col>
      <xdr:colOff>387350</xdr:colOff>
      <xdr:row>34</xdr:row>
      <xdr:rowOff>44450</xdr:rowOff>
    </xdr:from>
    <xdr:to>
      <xdr:col>12</xdr:col>
      <xdr:colOff>387350</xdr:colOff>
      <xdr:row>47</xdr:row>
      <xdr:rowOff>174625</xdr:rowOff>
    </xdr:to>
    <xdr:sp macro="" textlink="">
      <xdr:nvSpPr>
        <xdr:cNvPr id="7" name="Rectangle 6">
          <a:extLst>
            <a:ext uri="{FF2B5EF4-FFF2-40B4-BE49-F238E27FC236}">
              <a16:creationId xmlns:a16="http://schemas.microsoft.com/office/drawing/2014/main" id="{00000000-0008-0000-0400-000007000000}"/>
            </a:ext>
          </a:extLst>
        </xdr:cNvPr>
        <xdr:cNvSpPr>
          <a:spLocks noTextEdit="1"/>
        </xdr:cNvSpPr>
      </xdr:nvSpPr>
      <xdr:spPr>
        <a:xfrm>
          <a:off x="7219950" y="6305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10</xdr:col>
      <xdr:colOff>254000</xdr:colOff>
      <xdr:row>36</xdr:row>
      <xdr:rowOff>152400</xdr:rowOff>
    </xdr:from>
    <xdr:to>
      <xdr:col>13</xdr:col>
      <xdr:colOff>254000</xdr:colOff>
      <xdr:row>50</xdr:row>
      <xdr:rowOff>98425</xdr:rowOff>
    </xdr:to>
    <xdr:sp macro="" textlink="">
      <xdr:nvSpPr>
        <xdr:cNvPr id="8" name="Rectangle 7">
          <a:extLst>
            <a:ext uri="{FF2B5EF4-FFF2-40B4-BE49-F238E27FC236}">
              <a16:creationId xmlns:a16="http://schemas.microsoft.com/office/drawing/2014/main" id="{00000000-0008-0000-0400-000008000000}"/>
            </a:ext>
          </a:extLst>
        </xdr:cNvPr>
        <xdr:cNvSpPr>
          <a:spLocks noTextEdit="1"/>
        </xdr:cNvSpPr>
      </xdr:nvSpPr>
      <xdr:spPr>
        <a:xfrm>
          <a:off x="7696200" y="6781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11</xdr:col>
      <xdr:colOff>120650</xdr:colOff>
      <xdr:row>39</xdr:row>
      <xdr:rowOff>76200</xdr:rowOff>
    </xdr:from>
    <xdr:to>
      <xdr:col>14</xdr:col>
      <xdr:colOff>120650</xdr:colOff>
      <xdr:row>53</xdr:row>
      <xdr:rowOff>22225</xdr:rowOff>
    </xdr:to>
    <xdr:sp macro="" textlink="">
      <xdr:nvSpPr>
        <xdr:cNvPr id="9" name="Rectangle 8">
          <a:extLst>
            <a:ext uri="{FF2B5EF4-FFF2-40B4-BE49-F238E27FC236}">
              <a16:creationId xmlns:a16="http://schemas.microsoft.com/office/drawing/2014/main" id="{00000000-0008-0000-0400-000009000000}"/>
            </a:ext>
          </a:extLst>
        </xdr:cNvPr>
        <xdr:cNvSpPr>
          <a:spLocks noTextEdit="1"/>
        </xdr:cNvSpPr>
      </xdr:nvSpPr>
      <xdr:spPr>
        <a:xfrm>
          <a:off x="8172450" y="72580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11</xdr:col>
      <xdr:colOff>596900</xdr:colOff>
      <xdr:row>42</xdr:row>
      <xdr:rowOff>0</xdr:rowOff>
    </xdr:from>
    <xdr:to>
      <xdr:col>14</xdr:col>
      <xdr:colOff>596900</xdr:colOff>
      <xdr:row>55</xdr:row>
      <xdr:rowOff>130175</xdr:rowOff>
    </xdr:to>
    <xdr:sp macro="" textlink="">
      <xdr:nvSpPr>
        <xdr:cNvPr id="10" name="Rectangle 9">
          <a:extLst>
            <a:ext uri="{FF2B5EF4-FFF2-40B4-BE49-F238E27FC236}">
              <a16:creationId xmlns:a16="http://schemas.microsoft.com/office/drawing/2014/main" id="{00000000-0008-0000-0400-00000A000000}"/>
            </a:ext>
          </a:extLst>
        </xdr:cNvPr>
        <xdr:cNvSpPr>
          <a:spLocks noTextEdit="1"/>
        </xdr:cNvSpPr>
      </xdr:nvSpPr>
      <xdr:spPr>
        <a:xfrm>
          <a:off x="8648700" y="7734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12</xdr:col>
      <xdr:colOff>463550</xdr:colOff>
      <xdr:row>44</xdr:row>
      <xdr:rowOff>107950</xdr:rowOff>
    </xdr:from>
    <xdr:to>
      <xdr:col>15</xdr:col>
      <xdr:colOff>463550</xdr:colOff>
      <xdr:row>58</xdr:row>
      <xdr:rowOff>53975</xdr:rowOff>
    </xdr:to>
    <xdr:sp macro="" textlink="">
      <xdr:nvSpPr>
        <xdr:cNvPr id="11" name="Rectangle 10">
          <a:extLst>
            <a:ext uri="{FF2B5EF4-FFF2-40B4-BE49-F238E27FC236}">
              <a16:creationId xmlns:a16="http://schemas.microsoft.com/office/drawing/2014/main" id="{00000000-0008-0000-0400-00000B000000}"/>
            </a:ext>
          </a:extLst>
        </xdr:cNvPr>
        <xdr:cNvSpPr>
          <a:spLocks noTextEdit="1"/>
        </xdr:cNvSpPr>
      </xdr:nvSpPr>
      <xdr:spPr>
        <a:xfrm>
          <a:off x="9124950" y="8210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twoCellAnchor editAs="oneCell">
    <xdr:from>
      <xdr:col>8</xdr:col>
      <xdr:colOff>539750</xdr:colOff>
      <xdr:row>3</xdr:row>
      <xdr:rowOff>95250</xdr:rowOff>
    </xdr:from>
    <xdr:to>
      <xdr:col>11</xdr:col>
      <xdr:colOff>539750</xdr:colOff>
      <xdr:row>17</xdr:row>
      <xdr:rowOff>41275</xdr:rowOff>
    </xdr:to>
    <xdr:sp macro="" textlink="">
      <xdr:nvSpPr>
        <xdr:cNvPr id="12" name="Rectangle 11">
          <a:extLst>
            <a:ext uri="{FF2B5EF4-FFF2-40B4-BE49-F238E27FC236}">
              <a16:creationId xmlns:a16="http://schemas.microsoft.com/office/drawing/2014/main" id="{00000000-0008-0000-0400-00000C000000}"/>
            </a:ext>
          </a:extLst>
        </xdr:cNvPr>
        <xdr:cNvSpPr>
          <a:spLocks noTextEdit="1"/>
        </xdr:cNvSpPr>
      </xdr:nvSpPr>
      <xdr:spPr>
        <a:xfrm>
          <a:off x="6762750" y="6477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later.If the shape was modified in an earlier version of Excel, or if the workbook was saved in Excel 2003 or earlier, the slicer cannot be used.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352425</xdr:colOff>
      <xdr:row>5</xdr:row>
      <xdr:rowOff>161925</xdr:rowOff>
    </xdr:from>
    <xdr:to>
      <xdr:col>8</xdr:col>
      <xdr:colOff>133350</xdr:colOff>
      <xdr:row>19</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114300</xdr:colOff>
      <xdr:row>4</xdr:row>
      <xdr:rowOff>180975</xdr:rowOff>
    </xdr:from>
    <xdr:to>
      <xdr:col>12</xdr:col>
      <xdr:colOff>114300</xdr:colOff>
      <xdr:row>18</xdr:row>
      <xdr:rowOff>38100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6672E193-F128-94BC-8403-4703F85C722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000875" y="942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557212</xdr:colOff>
      <xdr:row>3</xdr:row>
      <xdr:rowOff>147637</xdr:rowOff>
    </xdr:from>
    <xdr:to>
      <xdr:col>10</xdr:col>
      <xdr:colOff>252412</xdr:colOff>
      <xdr:row>18</xdr:row>
      <xdr:rowOff>33337</xdr:rowOff>
    </xdr:to>
    <xdr:graphicFrame macro="">
      <xdr:nvGraphicFramePr>
        <xdr:cNvPr id="2" name="Chart 1">
          <a:extLst>
            <a:ext uri="{FF2B5EF4-FFF2-40B4-BE49-F238E27FC236}">
              <a16:creationId xmlns:a16="http://schemas.microsoft.com/office/drawing/2014/main" id="{81EBFB75-455A-0D85-E6D0-3F37E22D3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609599</xdr:colOff>
      <xdr:row>3</xdr:row>
      <xdr:rowOff>28575</xdr:rowOff>
    </xdr:to>
    <xdr:sp macro="" textlink="">
      <xdr:nvSpPr>
        <xdr:cNvPr id="2" name="Rectangle 1">
          <a:extLst>
            <a:ext uri="{FF2B5EF4-FFF2-40B4-BE49-F238E27FC236}">
              <a16:creationId xmlns:a16="http://schemas.microsoft.com/office/drawing/2014/main" id="{00000000-0008-0000-0800-000002000000}"/>
            </a:ext>
          </a:extLst>
        </xdr:cNvPr>
        <xdr:cNvSpPr/>
      </xdr:nvSpPr>
      <xdr:spPr>
        <a:xfrm>
          <a:off x="0" y="0"/>
          <a:ext cx="15859124" cy="600075"/>
        </a:xfrm>
        <a:prstGeom prst="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algn="ctr"/>
          <a:r>
            <a:rPr lang="en-US" sz="2800" b="1">
              <a:solidFill>
                <a:schemeClr val="tx2">
                  <a:lumMod val="75000"/>
                </a:schemeClr>
              </a:solidFill>
              <a:latin typeface="+mj-lt"/>
            </a:rPr>
            <a:t>Hospital Management Dashboard</a:t>
          </a:r>
        </a:p>
      </xdr:txBody>
    </xdr:sp>
    <xdr:clientData/>
  </xdr:twoCellAnchor>
  <xdr:twoCellAnchor>
    <xdr:from>
      <xdr:col>0</xdr:col>
      <xdr:colOff>79375</xdr:colOff>
      <xdr:row>3</xdr:row>
      <xdr:rowOff>60325</xdr:rowOff>
    </xdr:from>
    <xdr:to>
      <xdr:col>26</xdr:col>
      <xdr:colOff>68262</xdr:colOff>
      <xdr:row>29</xdr:row>
      <xdr:rowOff>47625</xdr:rowOff>
    </xdr:to>
    <xdr:sp macro="" textlink="">
      <xdr:nvSpPr>
        <xdr:cNvPr id="3" name="Rectangle 2">
          <a:extLst>
            <a:ext uri="{FF2B5EF4-FFF2-40B4-BE49-F238E27FC236}">
              <a16:creationId xmlns:a16="http://schemas.microsoft.com/office/drawing/2014/main" id="{00000000-0008-0000-0800-000003000000}"/>
            </a:ext>
          </a:extLst>
        </xdr:cNvPr>
        <xdr:cNvSpPr/>
      </xdr:nvSpPr>
      <xdr:spPr>
        <a:xfrm>
          <a:off x="79375" y="631825"/>
          <a:ext cx="15788481" cy="4940300"/>
        </a:xfrm>
        <a:prstGeom prst="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algn="ctr"/>
          <a:r>
            <a:rPr lang="en-US" sz="1100"/>
            <a:t>s</a:t>
          </a:r>
        </a:p>
      </xdr:txBody>
    </xdr:sp>
    <xdr:clientData/>
  </xdr:twoCellAnchor>
  <xdr:twoCellAnchor>
    <xdr:from>
      <xdr:col>0</xdr:col>
      <xdr:colOff>0</xdr:colOff>
      <xdr:row>0</xdr:row>
      <xdr:rowOff>28576</xdr:rowOff>
    </xdr:from>
    <xdr:to>
      <xdr:col>2</xdr:col>
      <xdr:colOff>571499</xdr:colOff>
      <xdr:row>3</xdr:row>
      <xdr:rowOff>9526</xdr:rowOff>
    </xdr:to>
    <xdr:sp macro="" textlink="KPI!A12">
      <xdr:nvSpPr>
        <xdr:cNvPr id="15" name="Rounded Rectangle 14">
          <a:extLst>
            <a:ext uri="{FF2B5EF4-FFF2-40B4-BE49-F238E27FC236}">
              <a16:creationId xmlns:a16="http://schemas.microsoft.com/office/drawing/2014/main" id="{00000000-0008-0000-0800-00000F000000}"/>
            </a:ext>
          </a:extLst>
        </xdr:cNvPr>
        <xdr:cNvSpPr/>
      </xdr:nvSpPr>
      <xdr:spPr>
        <a:xfrm>
          <a:off x="0" y="28576"/>
          <a:ext cx="1790699" cy="552450"/>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algn="ctr"/>
          <a:fld id="{BB1EF33E-E4BB-4584-A7FB-553702F45BB9}" type="TxLink">
            <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rPr>
            <a:pPr algn="ctr"/>
            <a:t>Revenue</a:t>
          </a:fld>
          <a:endPar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ndParaRPr>
        </a:p>
      </xdr:txBody>
    </xdr:sp>
    <xdr:clientData/>
  </xdr:twoCellAnchor>
  <xdr:twoCellAnchor>
    <xdr:from>
      <xdr:col>0</xdr:col>
      <xdr:colOff>0</xdr:colOff>
      <xdr:row>24</xdr:row>
      <xdr:rowOff>152400</xdr:rowOff>
    </xdr:from>
    <xdr:to>
      <xdr:col>2</xdr:col>
      <xdr:colOff>561975</xdr:colOff>
      <xdr:row>28</xdr:row>
      <xdr:rowOff>9525</xdr:rowOff>
    </xdr:to>
    <xdr:sp macro="" textlink="KPI!B13">
      <xdr:nvSpPr>
        <xdr:cNvPr id="16" name="Rounded Rectangle 15">
          <a:extLst>
            <a:ext uri="{FF2B5EF4-FFF2-40B4-BE49-F238E27FC236}">
              <a16:creationId xmlns:a16="http://schemas.microsoft.com/office/drawing/2014/main" id="{00000000-0008-0000-0800-000010000000}"/>
            </a:ext>
          </a:extLst>
        </xdr:cNvPr>
        <xdr:cNvSpPr/>
      </xdr:nvSpPr>
      <xdr:spPr>
        <a:xfrm>
          <a:off x="0" y="4724400"/>
          <a:ext cx="1781175" cy="6191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fld id="{39B9EF19-E000-4B76-8C87-FEBD4559CBD0}" type="TxLink">
            <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rPr>
            <a:pPr marL="0" indent="0" algn="ctr"/>
            <a:t>10.1</a:t>
          </a:fld>
          <a:endPar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endParaRPr>
        </a:p>
      </xdr:txBody>
    </xdr:sp>
    <xdr:clientData/>
  </xdr:twoCellAnchor>
  <xdr:twoCellAnchor>
    <xdr:from>
      <xdr:col>0</xdr:col>
      <xdr:colOff>0</xdr:colOff>
      <xdr:row>3</xdr:row>
      <xdr:rowOff>76200</xdr:rowOff>
    </xdr:from>
    <xdr:to>
      <xdr:col>2</xdr:col>
      <xdr:colOff>561975</xdr:colOff>
      <xdr:row>6</xdr:row>
      <xdr:rowOff>123825</xdr:rowOff>
    </xdr:to>
    <xdr:sp macro="" textlink="KPI!A13">
      <xdr:nvSpPr>
        <xdr:cNvPr id="17" name="Rounded Rectangle 16">
          <a:extLst>
            <a:ext uri="{FF2B5EF4-FFF2-40B4-BE49-F238E27FC236}">
              <a16:creationId xmlns:a16="http://schemas.microsoft.com/office/drawing/2014/main" id="{00000000-0008-0000-0800-000011000000}"/>
            </a:ext>
          </a:extLst>
        </xdr:cNvPr>
        <xdr:cNvSpPr/>
      </xdr:nvSpPr>
      <xdr:spPr>
        <a:xfrm>
          <a:off x="0" y="647700"/>
          <a:ext cx="1781175" cy="6191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fld id="{48C943DA-758D-497A-8B5B-D05953317E6B}" type="TxLink">
            <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rPr>
            <a:pPr marL="0" indent="0" algn="ctr"/>
            <a:t>₹ 6,39,47,920</a:t>
          </a:fld>
          <a:endPar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endParaRPr>
        </a:p>
      </xdr:txBody>
    </xdr:sp>
    <xdr:clientData/>
  </xdr:twoCellAnchor>
  <xdr:twoCellAnchor>
    <xdr:from>
      <xdr:col>0</xdr:col>
      <xdr:colOff>0</xdr:colOff>
      <xdr:row>7</xdr:row>
      <xdr:rowOff>19050</xdr:rowOff>
    </xdr:from>
    <xdr:to>
      <xdr:col>2</xdr:col>
      <xdr:colOff>561975</xdr:colOff>
      <xdr:row>10</xdr:row>
      <xdr:rowOff>66675</xdr:rowOff>
    </xdr:to>
    <xdr:sp macro="" textlink="KPI!B10">
      <xdr:nvSpPr>
        <xdr:cNvPr id="18" name="Rounded Rectangle 17">
          <a:extLst>
            <a:ext uri="{FF2B5EF4-FFF2-40B4-BE49-F238E27FC236}">
              <a16:creationId xmlns:a16="http://schemas.microsoft.com/office/drawing/2014/main" id="{00000000-0008-0000-0800-000012000000}"/>
            </a:ext>
          </a:extLst>
        </xdr:cNvPr>
        <xdr:cNvSpPr/>
      </xdr:nvSpPr>
      <xdr:spPr>
        <a:xfrm>
          <a:off x="0" y="1352550"/>
          <a:ext cx="1781175" cy="6191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fld id="{C2A85898-DEAF-41FF-936E-B2F6163D7581}" type="TxLink">
            <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rPr>
            <a:pPr marL="0" indent="0" algn="ctr"/>
            <a:t>Insurance revenue</a:t>
          </a:fld>
          <a:endPar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endParaRPr>
        </a:p>
      </xdr:txBody>
    </xdr:sp>
    <xdr:clientData/>
  </xdr:twoCellAnchor>
  <xdr:twoCellAnchor>
    <xdr:from>
      <xdr:col>0</xdr:col>
      <xdr:colOff>0</xdr:colOff>
      <xdr:row>10</xdr:row>
      <xdr:rowOff>133350</xdr:rowOff>
    </xdr:from>
    <xdr:to>
      <xdr:col>2</xdr:col>
      <xdr:colOff>561975</xdr:colOff>
      <xdr:row>13</xdr:row>
      <xdr:rowOff>180975</xdr:rowOff>
    </xdr:to>
    <xdr:sp macro="" textlink="KPI!B11">
      <xdr:nvSpPr>
        <xdr:cNvPr id="19" name="Rounded Rectangle 18">
          <a:extLst>
            <a:ext uri="{FF2B5EF4-FFF2-40B4-BE49-F238E27FC236}">
              <a16:creationId xmlns:a16="http://schemas.microsoft.com/office/drawing/2014/main" id="{00000000-0008-0000-0800-000013000000}"/>
            </a:ext>
          </a:extLst>
        </xdr:cNvPr>
        <xdr:cNvSpPr/>
      </xdr:nvSpPr>
      <xdr:spPr>
        <a:xfrm>
          <a:off x="0" y="2038350"/>
          <a:ext cx="1781175" cy="6191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fld id="{9A81585B-9078-4196-B7EB-44084D6CE5E9}" type="TxLink">
            <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rPr>
            <a:pPr marL="0" indent="0" algn="ctr"/>
            <a:t>₹ 1,73,48,861</a:t>
          </a:fld>
          <a:endPar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endParaRPr>
        </a:p>
      </xdr:txBody>
    </xdr:sp>
    <xdr:clientData/>
  </xdr:twoCellAnchor>
  <xdr:twoCellAnchor>
    <xdr:from>
      <xdr:col>0</xdr:col>
      <xdr:colOff>0</xdr:colOff>
      <xdr:row>14</xdr:row>
      <xdr:rowOff>19050</xdr:rowOff>
    </xdr:from>
    <xdr:to>
      <xdr:col>2</xdr:col>
      <xdr:colOff>561975</xdr:colOff>
      <xdr:row>17</xdr:row>
      <xdr:rowOff>66675</xdr:rowOff>
    </xdr:to>
    <xdr:sp macro="" textlink="KPI!A10">
      <xdr:nvSpPr>
        <xdr:cNvPr id="20" name="Rounded Rectangle 19">
          <a:extLst>
            <a:ext uri="{FF2B5EF4-FFF2-40B4-BE49-F238E27FC236}">
              <a16:creationId xmlns:a16="http://schemas.microsoft.com/office/drawing/2014/main" id="{00000000-0008-0000-0800-000014000000}"/>
            </a:ext>
          </a:extLst>
        </xdr:cNvPr>
        <xdr:cNvSpPr/>
      </xdr:nvSpPr>
      <xdr:spPr>
        <a:xfrm>
          <a:off x="0" y="2686050"/>
          <a:ext cx="1781175" cy="6191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fld id="{AF052261-4543-48A6-9C16-41E4437FC3B8}" type="TxLink">
            <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rPr>
            <a:pPr marL="0" indent="0" algn="ctr"/>
            <a:t>Recovery Rate</a:t>
          </a:fld>
          <a:endPar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endParaRPr>
        </a:p>
      </xdr:txBody>
    </xdr:sp>
    <xdr:clientData/>
  </xdr:twoCellAnchor>
  <xdr:twoCellAnchor>
    <xdr:from>
      <xdr:col>0</xdr:col>
      <xdr:colOff>0</xdr:colOff>
      <xdr:row>17</xdr:row>
      <xdr:rowOff>104775</xdr:rowOff>
    </xdr:from>
    <xdr:to>
      <xdr:col>2</xdr:col>
      <xdr:colOff>561975</xdr:colOff>
      <xdr:row>20</xdr:row>
      <xdr:rowOff>152400</xdr:rowOff>
    </xdr:to>
    <xdr:sp macro="" textlink="KPI!A11">
      <xdr:nvSpPr>
        <xdr:cNvPr id="21" name="Rounded Rectangle 20">
          <a:extLst>
            <a:ext uri="{FF2B5EF4-FFF2-40B4-BE49-F238E27FC236}">
              <a16:creationId xmlns:a16="http://schemas.microsoft.com/office/drawing/2014/main" id="{00000000-0008-0000-0800-000015000000}"/>
            </a:ext>
          </a:extLst>
        </xdr:cNvPr>
        <xdr:cNvSpPr/>
      </xdr:nvSpPr>
      <xdr:spPr>
        <a:xfrm>
          <a:off x="0" y="3343275"/>
          <a:ext cx="1781175" cy="6191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fld id="{144619EE-1751-4D52-BEFA-FE420475CAAC}" type="TxLink">
            <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rPr>
            <a:pPr marL="0" indent="0" algn="ctr"/>
            <a:t>24.6%</a:t>
          </a:fld>
          <a:endPar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endParaRPr>
        </a:p>
      </xdr:txBody>
    </xdr:sp>
    <xdr:clientData/>
  </xdr:twoCellAnchor>
  <xdr:twoCellAnchor>
    <xdr:from>
      <xdr:col>0</xdr:col>
      <xdr:colOff>0</xdr:colOff>
      <xdr:row>21</xdr:row>
      <xdr:rowOff>47625</xdr:rowOff>
    </xdr:from>
    <xdr:to>
      <xdr:col>2</xdr:col>
      <xdr:colOff>561975</xdr:colOff>
      <xdr:row>24</xdr:row>
      <xdr:rowOff>95250</xdr:rowOff>
    </xdr:to>
    <xdr:sp macro="" textlink="KPI!B12">
      <xdr:nvSpPr>
        <xdr:cNvPr id="22" name="Rounded Rectangle 21">
          <a:extLst>
            <a:ext uri="{FF2B5EF4-FFF2-40B4-BE49-F238E27FC236}">
              <a16:creationId xmlns:a16="http://schemas.microsoft.com/office/drawing/2014/main" id="{00000000-0008-0000-0800-000016000000}"/>
            </a:ext>
          </a:extLst>
        </xdr:cNvPr>
        <xdr:cNvSpPr/>
      </xdr:nvSpPr>
      <xdr:spPr>
        <a:xfrm>
          <a:off x="0" y="4048125"/>
          <a:ext cx="1781175" cy="619125"/>
        </a:xfrm>
        <a:prstGeom prst="roundRect">
          <a:avLst/>
        </a:prstGeom>
      </xdr:spPr>
      <xdr:style>
        <a:lnRef idx="1">
          <a:schemeClr val="accent1"/>
        </a:lnRef>
        <a:fillRef idx="2">
          <a:schemeClr val="accent1"/>
        </a:fillRef>
        <a:effectRef idx="1">
          <a:schemeClr val="accent1"/>
        </a:effectRef>
        <a:fontRef idx="minor">
          <a:schemeClr val="dk1"/>
        </a:fontRef>
      </xdr:style>
      <xdr:txBody>
        <a:bodyPr rtlCol="0" anchor="ctr"/>
        <a:lstStyle/>
        <a:p>
          <a:pPr marL="0" indent="0" algn="ctr"/>
          <a:fld id="{C1B4781B-D3A1-4EC3-AA06-22EA4E2CEC2E}" type="TxLink">
            <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rPr>
            <a:pPr marL="0" indent="0" algn="ctr"/>
            <a:t>Avg of stay days</a:t>
          </a:fld>
          <a:endParaRPr lang="en-US" sz="1600" b="1" i="0" cap="all" spc="0">
            <a:ln w="9000" cmpd="sng">
              <a:solidFill>
                <a:schemeClr val="accent4">
                  <a:shade val="50000"/>
                  <a:satMod val="120000"/>
                </a:schemeClr>
              </a:solidFill>
              <a:prstDash val="solid"/>
            </a:ln>
            <a:solidFill>
              <a:schemeClr val="accent5">
                <a:lumMod val="50000"/>
              </a:schemeClr>
            </a:solidFill>
            <a:effectLst>
              <a:reflection blurRad="12700" stA="28000" endPos="45000" dist="1000" dir="5400000" sy="-100000" algn="bl" rotWithShape="0"/>
            </a:effectLst>
            <a:latin typeface="+mj-lt"/>
            <a:ea typeface="+mn-ea"/>
            <a:cs typeface="+mn-cs"/>
          </a:endParaRPr>
        </a:p>
      </xdr:txBody>
    </xdr:sp>
    <xdr:clientData/>
  </xdr:twoCellAnchor>
  <xdr:twoCellAnchor>
    <xdr:from>
      <xdr:col>3</xdr:col>
      <xdr:colOff>47625</xdr:colOff>
      <xdr:row>3</xdr:row>
      <xdr:rowOff>95250</xdr:rowOff>
    </xdr:from>
    <xdr:to>
      <xdr:col>8</xdr:col>
      <xdr:colOff>409575</xdr:colOff>
      <xdr:row>15</xdr:row>
      <xdr:rowOff>66675</xdr:rowOff>
    </xdr:to>
    <xdr:graphicFrame macro="">
      <xdr:nvGraphicFramePr>
        <xdr:cNvPr id="23" name="Chart 22">
          <a:extLst>
            <a:ext uri="{FF2B5EF4-FFF2-40B4-BE49-F238E27FC236}">
              <a16:creationId xmlns:a16="http://schemas.microsoft.com/office/drawing/2014/main" id="{00000000-0008-0000-0800-00001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190500</xdr:colOff>
      <xdr:row>16</xdr:row>
      <xdr:rowOff>0</xdr:rowOff>
    </xdr:from>
    <xdr:to>
      <xdr:col>19</xdr:col>
      <xdr:colOff>428625</xdr:colOff>
      <xdr:row>27</xdr:row>
      <xdr:rowOff>142875</xdr:rowOff>
    </xdr:to>
    <xdr:graphicFrame macro="">
      <xdr:nvGraphicFramePr>
        <xdr:cNvPr id="24" name="Chart 23">
          <a:extLst>
            <a:ext uri="{FF2B5EF4-FFF2-40B4-BE49-F238E27FC236}">
              <a16:creationId xmlns:a16="http://schemas.microsoft.com/office/drawing/2014/main" id="{00000000-0008-0000-08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xdr:colOff>
      <xdr:row>16</xdr:row>
      <xdr:rowOff>19051</xdr:rowOff>
    </xdr:from>
    <xdr:to>
      <xdr:col>8</xdr:col>
      <xdr:colOff>400049</xdr:colOff>
      <xdr:row>28</xdr:row>
      <xdr:rowOff>9525</xdr:rowOff>
    </xdr:to>
    <xdr:graphicFrame macro="">
      <xdr:nvGraphicFramePr>
        <xdr:cNvPr id="25" name="Chart 24">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485775</xdr:colOff>
      <xdr:row>16</xdr:row>
      <xdr:rowOff>19050</xdr:rowOff>
    </xdr:from>
    <xdr:to>
      <xdr:col>14</xdr:col>
      <xdr:colOff>142875</xdr:colOff>
      <xdr:row>27</xdr:row>
      <xdr:rowOff>171450</xdr:rowOff>
    </xdr:to>
    <xdr:graphicFrame macro="">
      <xdr:nvGraphicFramePr>
        <xdr:cNvPr id="26" name="Chart 25">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190500</xdr:colOff>
      <xdr:row>3</xdr:row>
      <xdr:rowOff>95250</xdr:rowOff>
    </xdr:from>
    <xdr:to>
      <xdr:col>19</xdr:col>
      <xdr:colOff>381000</xdr:colOff>
      <xdr:row>15</xdr:row>
      <xdr:rowOff>47625</xdr:rowOff>
    </xdr:to>
    <xdr:graphicFrame macro="">
      <xdr:nvGraphicFramePr>
        <xdr:cNvPr id="28" name="Chart 27">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495300</xdr:colOff>
      <xdr:row>3</xdr:row>
      <xdr:rowOff>66676</xdr:rowOff>
    </xdr:from>
    <xdr:to>
      <xdr:col>14</xdr:col>
      <xdr:colOff>114300</xdr:colOff>
      <xdr:row>15</xdr:row>
      <xdr:rowOff>76200</xdr:rowOff>
    </xdr:to>
    <xdr:graphicFrame macro="">
      <xdr:nvGraphicFramePr>
        <xdr:cNvPr id="29" name="Chart 28">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518582</xdr:colOff>
      <xdr:row>3</xdr:row>
      <xdr:rowOff>84668</xdr:rowOff>
    </xdr:from>
    <xdr:to>
      <xdr:col>22</xdr:col>
      <xdr:colOff>476250</xdr:colOff>
      <xdr:row>14</xdr:row>
      <xdr:rowOff>158750</xdr:rowOff>
    </xdr:to>
    <mc:AlternateContent xmlns:mc="http://schemas.openxmlformats.org/markup-compatibility/2006" xmlns:a14="http://schemas.microsoft.com/office/drawing/2010/main">
      <mc:Choice Requires="a14">
        <xdr:graphicFrame macro="">
          <xdr:nvGraphicFramePr>
            <xdr:cNvPr id="4" name="Department 1">
              <a:extLst>
                <a:ext uri="{FF2B5EF4-FFF2-40B4-BE49-F238E27FC236}">
                  <a16:creationId xmlns:a16="http://schemas.microsoft.com/office/drawing/2014/main" id="{324BE3F8-0011-4567-A1BA-513A0EB3628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2191999" y="656168"/>
              <a:ext cx="1799168" cy="21695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2.824418402779" createdVersion="3" refreshedVersion="3" minRefreshableVersion="3" recordCount="500" xr:uid="{00000000-000A-0000-FFFF-FFFF00000000}">
  <cacheSource type="worksheet">
    <worksheetSource ref="A1:R501" sheet="Hospital data"/>
  </cacheSource>
  <cacheFields count="18">
    <cacheField name="Patient_ID" numFmtId="0">
      <sharedItems count="500">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 v="P1401"/>
        <s v="P1402"/>
        <s v="P1403"/>
        <s v="P1404"/>
        <s v="P1405"/>
        <s v="P1406"/>
        <s v="P1407"/>
        <s v="P1408"/>
        <s v="P1409"/>
        <s v="P1410"/>
        <s v="P1411"/>
        <s v="P1412"/>
        <s v="P1413"/>
        <s v="P1414"/>
        <s v="P1415"/>
        <s v="P1416"/>
        <s v="P1417"/>
        <s v="P1418"/>
        <s v="P1419"/>
        <s v="P1420"/>
        <s v="P1421"/>
        <s v="P1422"/>
        <s v="P1423"/>
        <s v="P1424"/>
        <s v="P1425"/>
        <s v="P1426"/>
        <s v="P1427"/>
        <s v="P1428"/>
        <s v="P1429"/>
        <s v="P1430"/>
        <s v="P1431"/>
        <s v="P1432"/>
        <s v="P1433"/>
        <s v="P1434"/>
        <s v="P1435"/>
        <s v="P1436"/>
        <s v="P1437"/>
        <s v="P1438"/>
        <s v="P1439"/>
        <s v="P1440"/>
        <s v="P1441"/>
        <s v="P1442"/>
        <s v="P1443"/>
        <s v="P1444"/>
        <s v="P1445"/>
        <s v="P1446"/>
        <s v="P1447"/>
        <s v="P1448"/>
        <s v="P1449"/>
        <s v="P1450"/>
        <s v="P1451"/>
        <s v="P1452"/>
        <s v="P1453"/>
        <s v="P1454"/>
        <s v="P1455"/>
        <s v="P1456"/>
        <s v="P1457"/>
        <s v="P1458"/>
        <s v="P1459"/>
        <s v="P1460"/>
        <s v="P1461"/>
        <s v="P1462"/>
        <s v="P1463"/>
        <s v="P1464"/>
        <s v="P1465"/>
        <s v="P1466"/>
        <s v="P1467"/>
        <s v="P1468"/>
        <s v="P1469"/>
        <s v="P1470"/>
        <s v="P1471"/>
        <s v="P1472"/>
        <s v="P1473"/>
        <s v="P1474"/>
        <s v="P1475"/>
        <s v="P1476"/>
        <s v="P1477"/>
        <s v="P1478"/>
        <s v="P1479"/>
        <s v="P1480"/>
        <s v="P1481"/>
        <s v="P1482"/>
        <s v="P1483"/>
        <s v="P1484"/>
        <s v="P1485"/>
        <s v="P1486"/>
        <s v="P1487"/>
        <s v="P1488"/>
        <s v="P1489"/>
        <s v="P1490"/>
        <s v="P1491"/>
        <s v="P1492"/>
        <s v="P1493"/>
        <s v="P1494"/>
        <s v="P1495"/>
        <s v="P1496"/>
        <s v="P1497"/>
        <s v="P1498"/>
        <s v="P1499"/>
      </sharedItems>
    </cacheField>
    <cacheField name="Patient_Name" numFmtId="0">
      <sharedItems count="500">
        <s v="Patient_1"/>
        <s v="Patient_2"/>
        <s v="Patient_3"/>
        <s v="Patient_4"/>
        <s v="Patient_5"/>
        <s v="Patient_6"/>
        <s v="Patient_7"/>
        <s v="Patient_8"/>
        <s v="Patient_9"/>
        <s v="Patient_10"/>
        <s v="Patient_11"/>
        <s v="Patient_12"/>
        <s v="Patient_13"/>
        <s v="Patient_14"/>
        <s v="Patient_15"/>
        <s v="Patient_16"/>
        <s v="Patient_17"/>
        <s v="Patient_18"/>
        <s v="Patient_19"/>
        <s v="Patient_20"/>
        <s v="Patient_21"/>
        <s v="Patient_22"/>
        <s v="Patient_23"/>
        <s v="Patient_24"/>
        <s v="Patient_25"/>
        <s v="Patient_26"/>
        <s v="Patient_27"/>
        <s v="Patient_28"/>
        <s v="Patient_29"/>
        <s v="Patient_30"/>
        <s v="Patient_31"/>
        <s v="Patient_32"/>
        <s v="Patient_33"/>
        <s v="Patient_34"/>
        <s v="Patient_35"/>
        <s v="Patient_36"/>
        <s v="Patient_37"/>
        <s v="Patient_38"/>
        <s v="Patient_39"/>
        <s v="Patient_40"/>
        <s v="Patient_41"/>
        <s v="Patient_42"/>
        <s v="Patient_43"/>
        <s v="Patient_44"/>
        <s v="Patient_45"/>
        <s v="Patient_46"/>
        <s v="Patient_47"/>
        <s v="Patient_48"/>
        <s v="Patient_49"/>
        <s v="Patient_50"/>
        <s v="Patient_51"/>
        <s v="Patient_52"/>
        <s v="Patient_53"/>
        <s v="Patient_54"/>
        <s v="Patient_55"/>
        <s v="Patient_56"/>
        <s v="Patient_57"/>
        <s v="Patient_58"/>
        <s v="Patient_59"/>
        <s v="Patient_60"/>
        <s v="Patient_61"/>
        <s v="Patient_62"/>
        <s v="Patient_63"/>
        <s v="Patient_64"/>
        <s v="Patient_65"/>
        <s v="Patient_66"/>
        <s v="Patient_67"/>
        <s v="Patient_68"/>
        <s v="Patient_69"/>
        <s v="Patient_70"/>
        <s v="Patient_71"/>
        <s v="Patient_72"/>
        <s v="Patient_73"/>
        <s v="Patient_74"/>
        <s v="Patient_75"/>
        <s v="Patient_76"/>
        <s v="Patient_77"/>
        <s v="Patient_78"/>
        <s v="Patient_79"/>
        <s v="Patient_80"/>
        <s v="Patient_81"/>
        <s v="Patient_82"/>
        <s v="Patient_83"/>
        <s v="Patient_84"/>
        <s v="Patient_85"/>
        <s v="Patient_86"/>
        <s v="Patient_87"/>
        <s v="Patient_88"/>
        <s v="Patient_89"/>
        <s v="Patient_90"/>
        <s v="Patient_91"/>
        <s v="Patient_92"/>
        <s v="Patient_93"/>
        <s v="Patient_94"/>
        <s v="Patient_95"/>
        <s v="Patient_96"/>
        <s v="Patient_97"/>
        <s v="Patient_98"/>
        <s v="Patient_99"/>
        <s v="Patient_100"/>
        <s v="Patient_101"/>
        <s v="Patient_102"/>
        <s v="Patient_103"/>
        <s v="Patient_104"/>
        <s v="Patient_105"/>
        <s v="Patient_106"/>
        <s v="Patient_107"/>
        <s v="Patient_108"/>
        <s v="Patient_109"/>
        <s v="Patient_110"/>
        <s v="Patient_111"/>
        <s v="Patient_112"/>
        <s v="Patient_113"/>
        <s v="Patient_114"/>
        <s v="Patient_115"/>
        <s v="Patient_116"/>
        <s v="Patient_117"/>
        <s v="Patient_118"/>
        <s v="Patient_119"/>
        <s v="Patient_120"/>
        <s v="Patient_121"/>
        <s v="Patient_122"/>
        <s v="Patient_123"/>
        <s v="Patient_124"/>
        <s v="Patient_125"/>
        <s v="Patient_126"/>
        <s v="Patient_127"/>
        <s v="Patient_128"/>
        <s v="Patient_129"/>
        <s v="Patient_130"/>
        <s v="Patient_131"/>
        <s v="Patient_132"/>
        <s v="Patient_133"/>
        <s v="Patient_134"/>
        <s v="Patient_135"/>
        <s v="Patient_136"/>
        <s v="Patient_137"/>
        <s v="Patient_138"/>
        <s v="Patient_139"/>
        <s v="Patient_140"/>
        <s v="Patient_141"/>
        <s v="Patient_142"/>
        <s v="Patient_143"/>
        <s v="Patient_144"/>
        <s v="Patient_145"/>
        <s v="Patient_146"/>
        <s v="Patient_147"/>
        <s v="Patient_148"/>
        <s v="Patient_149"/>
        <s v="Patient_150"/>
        <s v="Patient_151"/>
        <s v="Patient_152"/>
        <s v="Patient_153"/>
        <s v="Patient_154"/>
        <s v="Patient_155"/>
        <s v="Patient_156"/>
        <s v="Patient_157"/>
        <s v="Patient_158"/>
        <s v="Patient_159"/>
        <s v="Patient_160"/>
        <s v="Patient_161"/>
        <s v="Patient_162"/>
        <s v="Patient_163"/>
        <s v="Patient_164"/>
        <s v="Patient_165"/>
        <s v="Patient_166"/>
        <s v="Patient_167"/>
        <s v="Patient_168"/>
        <s v="Patient_169"/>
        <s v="Patient_170"/>
        <s v="Patient_171"/>
        <s v="Patient_172"/>
        <s v="Patient_173"/>
        <s v="Patient_174"/>
        <s v="Patient_175"/>
        <s v="Patient_176"/>
        <s v="Patient_177"/>
        <s v="Patient_178"/>
        <s v="Patient_179"/>
        <s v="Patient_180"/>
        <s v="Patient_181"/>
        <s v="Patient_182"/>
        <s v="Patient_183"/>
        <s v="Patient_184"/>
        <s v="Patient_185"/>
        <s v="Patient_186"/>
        <s v="Patient_187"/>
        <s v="Patient_188"/>
        <s v="Patient_189"/>
        <s v="Patient_190"/>
        <s v="Patient_191"/>
        <s v="Patient_192"/>
        <s v="Patient_193"/>
        <s v="Patient_194"/>
        <s v="Patient_195"/>
        <s v="Patient_196"/>
        <s v="Patient_197"/>
        <s v="Patient_198"/>
        <s v="Patient_199"/>
        <s v="Patient_200"/>
        <s v="Patient_201"/>
        <s v="Patient_202"/>
        <s v="Patient_203"/>
        <s v="Patient_204"/>
        <s v="Patient_205"/>
        <s v="Patient_206"/>
        <s v="Patient_207"/>
        <s v="Patient_208"/>
        <s v="Patient_209"/>
        <s v="Patient_210"/>
        <s v="Patient_211"/>
        <s v="Patient_212"/>
        <s v="Patient_213"/>
        <s v="Patient_214"/>
        <s v="Patient_215"/>
        <s v="Patient_216"/>
        <s v="Patient_217"/>
        <s v="Patient_218"/>
        <s v="Patient_219"/>
        <s v="Patient_220"/>
        <s v="Patient_221"/>
        <s v="Patient_222"/>
        <s v="Patient_223"/>
        <s v="Patient_224"/>
        <s v="Patient_225"/>
        <s v="Patient_226"/>
        <s v="Patient_227"/>
        <s v="Patient_228"/>
        <s v="Patient_229"/>
        <s v="Patient_230"/>
        <s v="Patient_231"/>
        <s v="Patient_232"/>
        <s v="Patient_233"/>
        <s v="Patient_234"/>
        <s v="Patient_235"/>
        <s v="Patient_236"/>
        <s v="Patient_237"/>
        <s v="Patient_238"/>
        <s v="Patient_239"/>
        <s v="Patient_240"/>
        <s v="Patient_241"/>
        <s v="Patient_242"/>
        <s v="Patient_243"/>
        <s v="Patient_244"/>
        <s v="Patient_245"/>
        <s v="Patient_246"/>
        <s v="Patient_247"/>
        <s v="Patient_248"/>
        <s v="Patient_249"/>
        <s v="Patient_250"/>
        <s v="Patient_251"/>
        <s v="Patient_252"/>
        <s v="Patient_253"/>
        <s v="Patient_254"/>
        <s v="Patient_255"/>
        <s v="Patient_256"/>
        <s v="Patient_257"/>
        <s v="Patient_258"/>
        <s v="Patient_259"/>
        <s v="Patient_260"/>
        <s v="Patient_261"/>
        <s v="Patient_262"/>
        <s v="Patient_263"/>
        <s v="Patient_264"/>
        <s v="Patient_265"/>
        <s v="Patient_266"/>
        <s v="Patient_267"/>
        <s v="Patient_268"/>
        <s v="Patient_269"/>
        <s v="Patient_270"/>
        <s v="Patient_271"/>
        <s v="Patient_272"/>
        <s v="Patient_273"/>
        <s v="Patient_274"/>
        <s v="Patient_275"/>
        <s v="Patient_276"/>
        <s v="Patient_277"/>
        <s v="Patient_278"/>
        <s v="Patient_279"/>
        <s v="Patient_280"/>
        <s v="Patient_281"/>
        <s v="Patient_282"/>
        <s v="Patient_283"/>
        <s v="Patient_284"/>
        <s v="Patient_285"/>
        <s v="Patient_286"/>
        <s v="Patient_287"/>
        <s v="Patient_288"/>
        <s v="Patient_289"/>
        <s v="Patient_290"/>
        <s v="Patient_291"/>
        <s v="Patient_292"/>
        <s v="Patient_293"/>
        <s v="Patient_294"/>
        <s v="Patient_295"/>
        <s v="Patient_296"/>
        <s v="Patient_297"/>
        <s v="Patient_298"/>
        <s v="Patient_299"/>
        <s v="Patient_300"/>
        <s v="Patient_301"/>
        <s v="Patient_302"/>
        <s v="Patient_303"/>
        <s v="Patient_304"/>
        <s v="Patient_305"/>
        <s v="Patient_306"/>
        <s v="Patient_307"/>
        <s v="Patient_308"/>
        <s v="Patient_309"/>
        <s v="Patient_310"/>
        <s v="Patient_311"/>
        <s v="Patient_312"/>
        <s v="Patient_313"/>
        <s v="Patient_314"/>
        <s v="Patient_315"/>
        <s v="Patient_316"/>
        <s v="Patient_317"/>
        <s v="Patient_318"/>
        <s v="Patient_319"/>
        <s v="Patient_320"/>
        <s v="Patient_321"/>
        <s v="Patient_322"/>
        <s v="Patient_323"/>
        <s v="Patient_324"/>
        <s v="Patient_325"/>
        <s v="Patient_326"/>
        <s v="Patient_327"/>
        <s v="Patient_328"/>
        <s v="Patient_329"/>
        <s v="Patient_330"/>
        <s v="Patient_331"/>
        <s v="Patient_332"/>
        <s v="Patient_333"/>
        <s v="Patient_334"/>
        <s v="Patient_335"/>
        <s v="Patient_336"/>
        <s v="Patient_337"/>
        <s v="Patient_338"/>
        <s v="Patient_339"/>
        <s v="Patient_340"/>
        <s v="Patient_341"/>
        <s v="Patient_342"/>
        <s v="Patient_343"/>
        <s v="Patient_344"/>
        <s v="Patient_345"/>
        <s v="Patient_346"/>
        <s v="Patient_347"/>
        <s v="Patient_348"/>
        <s v="Patient_349"/>
        <s v="Patient_350"/>
        <s v="Patient_351"/>
        <s v="Patient_352"/>
        <s v="Patient_353"/>
        <s v="Patient_354"/>
        <s v="Patient_355"/>
        <s v="Patient_356"/>
        <s v="Patient_357"/>
        <s v="Patient_358"/>
        <s v="Patient_359"/>
        <s v="Patient_360"/>
        <s v="Patient_361"/>
        <s v="Patient_362"/>
        <s v="Patient_363"/>
        <s v="Patient_364"/>
        <s v="Patient_365"/>
        <s v="Patient_366"/>
        <s v="Patient_367"/>
        <s v="Patient_368"/>
        <s v="Patient_369"/>
        <s v="Patient_370"/>
        <s v="Patient_371"/>
        <s v="Patient_372"/>
        <s v="Patient_373"/>
        <s v="Patient_374"/>
        <s v="Patient_375"/>
        <s v="Patient_376"/>
        <s v="Patient_377"/>
        <s v="Patient_378"/>
        <s v="Patient_379"/>
        <s v="Patient_380"/>
        <s v="Patient_381"/>
        <s v="Patient_382"/>
        <s v="Patient_383"/>
        <s v="Patient_384"/>
        <s v="Patient_385"/>
        <s v="Patient_386"/>
        <s v="Patient_387"/>
        <s v="Patient_388"/>
        <s v="Patient_389"/>
        <s v="Patient_390"/>
        <s v="Patient_391"/>
        <s v="Patient_392"/>
        <s v="Patient_393"/>
        <s v="Patient_394"/>
        <s v="Patient_395"/>
        <s v="Patient_396"/>
        <s v="Patient_397"/>
        <s v="Patient_398"/>
        <s v="Patient_399"/>
        <s v="Patient_400"/>
        <s v="Patient_401"/>
        <s v="Patient_402"/>
        <s v="Patient_403"/>
        <s v="Patient_404"/>
        <s v="Patient_405"/>
        <s v="Patient_406"/>
        <s v="Patient_407"/>
        <s v="Patient_408"/>
        <s v="Patient_409"/>
        <s v="Patient_410"/>
        <s v="Patient_411"/>
        <s v="Patient_412"/>
        <s v="Patient_413"/>
        <s v="Patient_414"/>
        <s v="Patient_415"/>
        <s v="Patient_416"/>
        <s v="Patient_417"/>
        <s v="Patient_418"/>
        <s v="Patient_419"/>
        <s v="Patient_420"/>
        <s v="Patient_421"/>
        <s v="Patient_422"/>
        <s v="Patient_423"/>
        <s v="Patient_424"/>
        <s v="Patient_425"/>
        <s v="Patient_426"/>
        <s v="Patient_427"/>
        <s v="Patient_428"/>
        <s v="Patient_429"/>
        <s v="Patient_430"/>
        <s v="Patient_431"/>
        <s v="Patient_432"/>
        <s v="Patient_433"/>
        <s v="Patient_434"/>
        <s v="Patient_435"/>
        <s v="Patient_436"/>
        <s v="Patient_437"/>
        <s v="Patient_438"/>
        <s v="Patient_439"/>
        <s v="Patient_440"/>
        <s v="Patient_441"/>
        <s v="Patient_442"/>
        <s v="Patient_443"/>
        <s v="Patient_444"/>
        <s v="Patient_445"/>
        <s v="Patient_446"/>
        <s v="Patient_447"/>
        <s v="Patient_448"/>
        <s v="Patient_449"/>
        <s v="Patient_450"/>
        <s v="Patient_451"/>
        <s v="Patient_452"/>
        <s v="Patient_453"/>
        <s v="Patient_454"/>
        <s v="Patient_455"/>
        <s v="Patient_456"/>
        <s v="Patient_457"/>
        <s v="Patient_458"/>
        <s v="Patient_459"/>
        <s v="Patient_460"/>
        <s v="Patient_461"/>
        <s v="Patient_462"/>
        <s v="Patient_463"/>
        <s v="Patient_464"/>
        <s v="Patient_465"/>
        <s v="Patient_466"/>
        <s v="Patient_467"/>
        <s v="Patient_468"/>
        <s v="Patient_469"/>
        <s v="Patient_470"/>
        <s v="Patient_471"/>
        <s v="Patient_472"/>
        <s v="Patient_473"/>
        <s v="Patient_474"/>
        <s v="Patient_475"/>
        <s v="Patient_476"/>
        <s v="Patient_477"/>
        <s v="Patient_478"/>
        <s v="Patient_479"/>
        <s v="Patient_480"/>
        <s v="Patient_481"/>
        <s v="Patient_482"/>
        <s v="Patient_483"/>
        <s v="Patient_484"/>
        <s v="Patient_485"/>
        <s v="Patient_486"/>
        <s v="Patient_487"/>
        <s v="Patient_488"/>
        <s v="Patient_489"/>
        <s v="Patient_490"/>
        <s v="Patient_491"/>
        <s v="Patient_492"/>
        <s v="Patient_493"/>
        <s v="Patient_494"/>
        <s v="Patient_495"/>
        <s v="Patient_496"/>
        <s v="Patient_497"/>
        <s v="Patient_498"/>
        <s v="Patient_499"/>
        <s v="Patient_500"/>
      </sharedItems>
    </cacheField>
    <cacheField name="Age" numFmtId="0">
      <sharedItems containsSemiMixedTypes="0" containsString="0" containsNumber="1" containsInteger="1" minValue="1" maxValue="89" count="89">
        <n v="52"/>
        <n v="15"/>
        <n v="72"/>
        <n v="61"/>
        <n v="21"/>
        <n v="83"/>
        <n v="87"/>
        <n v="75"/>
        <n v="88"/>
        <n v="24"/>
        <n v="3"/>
        <n v="22"/>
        <n v="53"/>
        <n v="2"/>
        <n v="30"/>
        <n v="38"/>
        <n v="64"/>
        <n v="60"/>
        <n v="33"/>
        <n v="76"/>
        <n v="58"/>
        <n v="89"/>
        <n v="49"/>
        <n v="59"/>
        <n v="42"/>
        <n v="80"/>
        <n v="62"/>
        <n v="47"/>
        <n v="51"/>
        <n v="55"/>
        <n v="7"/>
        <n v="73"/>
        <n v="39"/>
        <n v="18"/>
        <n v="4"/>
        <n v="14"/>
        <n v="9"/>
        <n v="84"/>
        <n v="71"/>
        <n v="44"/>
        <n v="8"/>
        <n v="35"/>
        <n v="78"/>
        <n v="81"/>
        <n v="36"/>
        <n v="50"/>
        <n v="6"/>
        <n v="54"/>
        <n v="63"/>
        <n v="34"/>
        <n v="74"/>
        <n v="48"/>
        <n v="40"/>
        <n v="85"/>
        <n v="82"/>
        <n v="26"/>
        <n v="41"/>
        <n v="29"/>
        <n v="45"/>
        <n v="65"/>
        <n v="1"/>
        <n v="11"/>
        <n v="5"/>
        <n v="28"/>
        <n v="12"/>
        <n v="23"/>
        <n v="37"/>
        <n v="86"/>
        <n v="27"/>
        <n v="79"/>
        <n v="77"/>
        <n v="43"/>
        <n v="13"/>
        <n v="32"/>
        <n v="66"/>
        <n v="57"/>
        <n v="70"/>
        <n v="56"/>
        <n v="19"/>
        <n v="68"/>
        <n v="17"/>
        <n v="69"/>
        <n v="16"/>
        <n v="20"/>
        <n v="67"/>
        <n v="31"/>
        <n v="25"/>
        <n v="46"/>
        <n v="10"/>
      </sharedItems>
    </cacheField>
    <cacheField name="Gender" numFmtId="0">
      <sharedItems count="2">
        <s v="Female"/>
        <s v="Male"/>
      </sharedItems>
    </cacheField>
    <cacheField name="Department" numFmtId="0">
      <sharedItems count="6">
        <s v="Orthopedics"/>
        <s v="Gynecology"/>
        <s v="Pediatrics"/>
        <s v="General Medicine"/>
        <s v="Neurology"/>
        <s v="Cardiology"/>
      </sharedItems>
    </cacheField>
    <cacheField name="Doctor_Name" numFmtId="0">
      <sharedItems count="6">
        <s v="Dr. Patel"/>
        <s v="Dr. Singh"/>
        <s v="Dr. Mehta"/>
        <s v="Dr. Rao"/>
        <s v="Dr. Sharma"/>
        <s v="Dr. Iyer"/>
      </sharedItems>
    </cacheField>
    <cacheField name="Admission_Type" numFmtId="0">
      <sharedItems count="3">
        <s v="OPD"/>
        <s v="Referral"/>
        <s v="Emergency"/>
      </sharedItems>
    </cacheField>
    <cacheField name="Admission_Date" numFmtId="14">
      <sharedItems containsSemiMixedTypes="0" containsNonDate="0" containsDate="1" containsString="0" minDate="2024-01-03T00:00:00" maxDate="2024-12-31T00:00:00" count="272">
        <d v="2024-07-27T00:00:00"/>
        <d v="2024-10-17T00:00:00"/>
        <d v="2024-12-19T00:00:00"/>
        <d v="2024-10-12T00:00:00"/>
        <d v="2024-04-25T00:00:00"/>
        <d v="2024-09-20T00:00:00"/>
        <d v="2024-05-29T00:00:00"/>
        <d v="2024-10-26T00:00:00"/>
        <d v="2024-02-05T00:00:00"/>
        <d v="2024-11-28T00:00:00"/>
        <d v="2024-10-13T00:00:00"/>
        <d v="2024-10-29T00:00:00"/>
        <d v="2024-11-06T00:00:00"/>
        <d v="2024-07-26T00:00:00"/>
        <d v="2024-04-15T00:00:00"/>
        <d v="2024-06-06T00:00:00"/>
        <d v="2024-04-30T00:00:00"/>
        <d v="2024-02-24T00:00:00"/>
        <d v="2024-01-12T00:00:00"/>
        <d v="2024-05-24T00:00:00"/>
        <d v="2024-05-15T00:00:00"/>
        <d v="2024-01-03T00:00:00"/>
        <d v="2024-05-23T00:00:00"/>
        <d v="2024-01-30T00:00:00"/>
        <d v="2024-08-24T00:00:00"/>
        <d v="2024-10-05T00:00:00"/>
        <d v="2024-12-13T00:00:00"/>
        <d v="2024-04-24T00:00:00"/>
        <d v="2024-04-13T00:00:00"/>
        <d v="2024-04-27T00:00:00"/>
        <d v="2024-01-05T00:00:00"/>
        <d v="2024-12-25T00:00:00"/>
        <d v="2024-09-04T00:00:00"/>
        <d v="2024-12-29T00:00:00"/>
        <d v="2024-11-16T00:00:00"/>
        <d v="2024-05-28T00:00:00"/>
        <d v="2024-03-24T00:00:00"/>
        <d v="2024-08-18T00:00:00"/>
        <d v="2024-10-14T00:00:00"/>
        <d v="2024-06-09T00:00:00"/>
        <d v="2024-09-28T00:00:00"/>
        <d v="2024-02-07T00:00:00"/>
        <d v="2024-08-13T00:00:00"/>
        <d v="2024-05-21T00:00:00"/>
        <d v="2024-10-18T00:00:00"/>
        <d v="2024-05-30T00:00:00"/>
        <d v="2024-04-23T00:00:00"/>
        <d v="2024-03-06T00:00:00"/>
        <d v="2024-12-26T00:00:00"/>
        <d v="2024-12-06T00:00:00"/>
        <d v="2024-09-14T00:00:00"/>
        <d v="2024-09-05T00:00:00"/>
        <d v="2024-11-26T00:00:00"/>
        <d v="2024-11-18T00:00:00"/>
        <d v="2024-06-28T00:00:00"/>
        <d v="2024-07-08T00:00:00"/>
        <d v="2024-06-02T00:00:00"/>
        <d v="2024-07-14T00:00:00"/>
        <d v="2024-09-18T00:00:00"/>
        <d v="2024-05-22T00:00:00"/>
        <d v="2024-12-07T00:00:00"/>
        <d v="2024-11-11T00:00:00"/>
        <d v="2024-04-10T00:00:00"/>
        <d v="2024-08-31T00:00:00"/>
        <d v="2024-08-26T00:00:00"/>
        <d v="2024-02-18T00:00:00"/>
        <d v="2024-02-11T00:00:00"/>
        <d v="2024-06-14T00:00:00"/>
        <d v="2024-03-22T00:00:00"/>
        <d v="2024-08-03T00:00:00"/>
        <d v="2024-05-13T00:00:00"/>
        <d v="2024-03-07T00:00:00"/>
        <d v="2024-12-01T00:00:00"/>
        <d v="2024-01-07T00:00:00"/>
        <d v="2024-01-14T00:00:00"/>
        <d v="2024-03-13T00:00:00"/>
        <d v="2024-06-11T00:00:00"/>
        <d v="2024-12-12T00:00:00"/>
        <d v="2024-05-09T00:00:00"/>
        <d v="2024-07-24T00:00:00"/>
        <d v="2024-10-02T00:00:00"/>
        <d v="2024-09-12T00:00:00"/>
        <d v="2024-09-22T00:00:00"/>
        <d v="2024-01-25T00:00:00"/>
        <d v="2024-10-07T00:00:00"/>
        <d v="2024-09-09T00:00:00"/>
        <d v="2024-11-05T00:00:00"/>
        <d v="2024-10-15T00:00:00"/>
        <d v="2024-06-12T00:00:00"/>
        <d v="2024-04-04T00:00:00"/>
        <d v="2024-09-26T00:00:00"/>
        <d v="2024-04-19T00:00:00"/>
        <d v="2024-08-25T00:00:00"/>
        <d v="2024-05-20T00:00:00"/>
        <d v="2024-04-26T00:00:00"/>
        <d v="2024-03-19T00:00:00"/>
        <d v="2024-03-08T00:00:00"/>
        <d v="2024-06-21T00:00:00"/>
        <d v="2024-05-07T00:00:00"/>
        <d v="2024-04-05T00:00:00"/>
        <d v="2024-04-01T00:00:00"/>
        <d v="2024-01-31T00:00:00"/>
        <d v="2024-11-29T00:00:00"/>
        <d v="2024-01-20T00:00:00"/>
        <d v="2024-05-25T00:00:00"/>
        <d v="2024-06-08T00:00:00"/>
        <d v="2024-12-14T00:00:00"/>
        <d v="2024-02-12T00:00:00"/>
        <d v="2024-09-10T00:00:00"/>
        <d v="2024-02-29T00:00:00"/>
        <d v="2024-12-10T00:00:00"/>
        <d v="2024-09-23T00:00:00"/>
        <d v="2024-06-26T00:00:00"/>
        <d v="2024-02-25T00:00:00"/>
        <d v="2024-03-23T00:00:00"/>
        <d v="2024-04-08T00:00:00"/>
        <d v="2024-11-24T00:00:00"/>
        <d v="2024-06-04T00:00:00"/>
        <d v="2024-09-19T00:00:00"/>
        <d v="2024-03-20T00:00:00"/>
        <d v="2024-09-08T00:00:00"/>
        <d v="2024-04-06T00:00:00"/>
        <d v="2024-09-16T00:00:00"/>
        <d v="2024-04-12T00:00:00"/>
        <d v="2024-02-09T00:00:00"/>
        <d v="2024-09-29T00:00:00"/>
        <d v="2024-12-24T00:00:00"/>
        <d v="2024-11-03T00:00:00"/>
        <d v="2024-08-08T00:00:00"/>
        <d v="2024-05-03T00:00:00"/>
        <d v="2024-03-03T00:00:00"/>
        <d v="2024-07-09T00:00:00"/>
        <d v="2024-03-02T00:00:00"/>
        <d v="2024-06-03T00:00:00"/>
        <d v="2024-08-16T00:00:00"/>
        <d v="2024-03-26T00:00:00"/>
        <d v="2024-05-12T00:00:00"/>
        <d v="2024-07-01T00:00:00"/>
        <d v="2024-08-06T00:00:00"/>
        <d v="2024-09-02T00:00:00"/>
        <d v="2024-08-17T00:00:00"/>
        <d v="2024-05-17T00:00:00"/>
        <d v="2024-11-09T00:00:00"/>
        <d v="2024-03-05T00:00:00"/>
        <d v="2024-01-13T00:00:00"/>
        <d v="2024-07-31T00:00:00"/>
        <d v="2024-08-29T00:00:00"/>
        <d v="2024-06-29T00:00:00"/>
        <d v="2024-12-03T00:00:00"/>
        <d v="2024-07-06T00:00:00"/>
        <d v="2024-10-08T00:00:00"/>
        <d v="2024-02-03T00:00:00"/>
        <d v="2024-02-21T00:00:00"/>
        <d v="2024-04-21T00:00:00"/>
        <d v="2024-08-19T00:00:00"/>
        <d v="2024-08-14T00:00:00"/>
        <d v="2024-08-20T00:00:00"/>
        <d v="2024-01-21T00:00:00"/>
        <d v="2024-04-22T00:00:00"/>
        <d v="2024-04-14T00:00:00"/>
        <d v="2024-07-10T00:00:00"/>
        <d v="2024-01-17T00:00:00"/>
        <d v="2024-04-29T00:00:00"/>
        <d v="2024-05-08T00:00:00"/>
        <d v="2024-02-17T00:00:00"/>
        <d v="2024-01-29T00:00:00"/>
        <d v="2024-01-10T00:00:00"/>
        <d v="2024-10-03T00:00:00"/>
        <d v="2024-10-10T00:00:00"/>
        <d v="2024-07-21T00:00:00"/>
        <d v="2024-09-03T00:00:00"/>
        <d v="2024-10-16T00:00:00"/>
        <d v="2024-08-01T00:00:00"/>
        <d v="2024-07-18T00:00:00"/>
        <d v="2024-12-08T00:00:00"/>
        <d v="2024-12-09T00:00:00"/>
        <d v="2024-03-09T00:00:00"/>
        <d v="2024-03-27T00:00:00"/>
        <d v="2024-01-08T00:00:00"/>
        <d v="2024-04-18T00:00:00"/>
        <d v="2024-05-31T00:00:00"/>
        <d v="2024-05-27T00:00:00"/>
        <d v="2024-08-15T00:00:00"/>
        <d v="2024-05-18T00:00:00"/>
        <d v="2024-07-29T00:00:00"/>
        <d v="2024-01-28T00:00:00"/>
        <d v="2024-02-20T00:00:00"/>
        <d v="2024-09-17T00:00:00"/>
        <d v="2024-12-15T00:00:00"/>
        <d v="2024-12-17T00:00:00"/>
        <d v="2024-11-15T00:00:00"/>
        <d v="2024-04-20T00:00:00"/>
        <d v="2024-08-07T00:00:00"/>
        <d v="2024-12-02T00:00:00"/>
        <d v="2024-08-10T00:00:00"/>
        <d v="2024-11-19T00:00:00"/>
        <d v="2024-03-18T00:00:00"/>
        <d v="2024-06-17T00:00:00"/>
        <d v="2024-08-04T00:00:00"/>
        <d v="2024-04-28T00:00:00"/>
        <d v="2024-09-11T00:00:00"/>
        <d v="2024-05-19T00:00:00"/>
        <d v="2024-09-25T00:00:00"/>
        <d v="2024-12-16T00:00:00"/>
        <d v="2024-01-11T00:00:00"/>
        <d v="2024-09-27T00:00:00"/>
        <d v="2024-06-01T00:00:00"/>
        <d v="2024-11-10T00:00:00"/>
        <d v="2024-10-04T00:00:00"/>
        <d v="2024-06-20T00:00:00"/>
        <d v="2024-06-22T00:00:00"/>
        <d v="2024-05-01T00:00:00"/>
        <d v="2024-02-01T00:00:00"/>
        <d v="2024-08-09T00:00:00"/>
        <d v="2024-02-08T00:00:00"/>
        <d v="2024-09-24T00:00:00"/>
        <d v="2024-01-18T00:00:00"/>
        <d v="2024-05-05T00:00:00"/>
        <d v="2024-10-28T00:00:00"/>
        <d v="2024-05-14T00:00:00"/>
        <d v="2024-08-23T00:00:00"/>
        <d v="2024-08-11T00:00:00"/>
        <d v="2024-08-22T00:00:00"/>
        <d v="2024-01-22T00:00:00"/>
        <d v="2024-10-11T00:00:00"/>
        <d v="2024-10-09T00:00:00"/>
        <d v="2024-02-19T00:00:00"/>
        <d v="2024-03-28T00:00:00"/>
        <d v="2024-02-13T00:00:00"/>
        <d v="2024-06-19T00:00:00"/>
        <d v="2024-07-07T00:00:00"/>
        <d v="2024-12-18T00:00:00"/>
        <d v="2024-07-02T00:00:00"/>
        <d v="2024-01-19T00:00:00"/>
        <d v="2024-01-23T00:00:00"/>
        <d v="2024-10-21T00:00:00"/>
        <d v="2024-04-17T00:00:00"/>
        <d v="2024-12-27T00:00:00"/>
        <d v="2024-07-04T00:00:00"/>
        <d v="2024-03-12T00:00:00"/>
        <d v="2024-08-21T00:00:00"/>
        <d v="2024-03-30T00:00:00"/>
        <d v="2024-02-23T00:00:00"/>
        <d v="2024-03-15T00:00:00"/>
        <d v="2024-08-30T00:00:00"/>
        <d v="2024-03-10T00:00:00"/>
        <d v="2024-11-07T00:00:00"/>
        <d v="2024-05-11T00:00:00"/>
        <d v="2024-01-24T00:00:00"/>
        <d v="2024-10-19T00:00:00"/>
        <d v="2024-07-20T00:00:00"/>
        <d v="2024-02-26T00:00:00"/>
        <d v="2024-03-11T00:00:00"/>
        <d v="2024-01-04T00:00:00"/>
        <d v="2024-06-10T00:00:00"/>
        <d v="2024-06-07T00:00:00"/>
        <d v="2024-10-31T00:00:00"/>
        <d v="2024-11-14T00:00:00"/>
        <d v="2024-03-16T00:00:00"/>
        <d v="2024-12-21T00:00:00"/>
        <d v="2024-09-07T00:00:00"/>
        <d v="2024-11-08T00:00:00"/>
        <d v="2024-10-27T00:00:00"/>
        <d v="2024-07-16T00:00:00"/>
        <d v="2024-08-27T00:00:00"/>
        <d v="2024-02-16T00:00:00"/>
        <d v="2024-05-16T00:00:00"/>
        <d v="2024-11-20T00:00:00"/>
        <d v="2024-03-01T00:00:00"/>
        <d v="2024-09-15T00:00:00"/>
        <d v="2024-04-16T00:00:00"/>
        <d v="2024-12-30T00:00:00"/>
      </sharedItems>
    </cacheField>
    <cacheField name="Discharge_Date" numFmtId="14">
      <sharedItems containsSemiMixedTypes="0" containsNonDate="0" containsDate="1" containsString="0" minDate="2024-01-02T00:00:00" maxDate="2025-01-05T00:00:00" count="269">
        <d v="2024-02-21T00:00:00"/>
        <d v="2024-09-02T00:00:00"/>
        <d v="2024-02-05T00:00:00"/>
        <d v="2024-10-29T00:00:00"/>
        <d v="2024-03-10T00:00:00"/>
        <d v="2024-12-15T00:00:00"/>
        <d v="2024-11-16T00:00:00"/>
        <d v="2024-02-19T00:00:00"/>
        <d v="2024-03-15T00:00:00"/>
        <d v="2024-07-11T00:00:00"/>
        <d v="2024-09-18T00:00:00"/>
        <d v="2024-12-22T00:00:00"/>
        <d v="2024-03-11T00:00:00"/>
        <d v="2024-03-31T00:00:00"/>
        <d v="2024-09-17T00:00:00"/>
        <d v="2024-05-06T00:00:00"/>
        <d v="2024-08-19T00:00:00"/>
        <d v="2024-10-22T00:00:00"/>
        <d v="2024-05-09T00:00:00"/>
        <d v="2024-10-07T00:00:00"/>
        <d v="2024-11-09T00:00:00"/>
        <d v="2024-04-10T00:00:00"/>
        <d v="2024-11-22T00:00:00"/>
        <d v="2024-10-24T00:00:00"/>
        <d v="2024-07-01T00:00:00"/>
        <d v="2024-06-23T00:00:00"/>
        <d v="2024-11-12T00:00:00"/>
        <d v="2024-12-30T00:00:00"/>
        <d v="2024-07-07T00:00:00"/>
        <d v="2024-02-27T00:00:00"/>
        <d v="2024-02-01T00:00:00"/>
        <d v="2024-03-25T00:00:00"/>
        <d v="2024-06-01T00:00:00"/>
        <d v="2024-02-06T00:00:00"/>
        <d v="2024-08-01T00:00:00"/>
        <d v="2024-04-16T00:00:00"/>
        <d v="2024-12-08T00:00:00"/>
        <d v="2024-08-08T00:00:00"/>
        <d v="2024-06-12T00:00:00"/>
        <d v="2024-09-27T00:00:00"/>
        <d v="2024-04-30T00:00:00"/>
        <d v="2024-12-02T00:00:00"/>
        <d v="2024-08-05T00:00:00"/>
        <d v="2024-07-24T00:00:00"/>
        <d v="2024-02-14T00:00:00"/>
        <d v="2024-11-25T00:00:00"/>
        <d v="2024-10-28T00:00:00"/>
        <d v="2024-08-16T00:00:00"/>
        <d v="2024-07-03T00:00:00"/>
        <d v="2024-04-17T00:00:00"/>
        <d v="2024-12-04T00:00:00"/>
        <d v="2024-09-07T00:00:00"/>
        <d v="2024-12-29T00:00:00"/>
        <d v="2024-01-22T00:00:00"/>
        <d v="2024-07-15T00:00:00"/>
        <d v="2024-06-27T00:00:00"/>
        <d v="2024-01-08T00:00:00"/>
        <d v="2024-05-07T00:00:00"/>
        <d v="2024-06-09T00:00:00"/>
        <d v="2024-09-05T00:00:00"/>
        <d v="2024-07-22T00:00:00"/>
        <d v="2024-05-28T00:00:00"/>
        <d v="2024-05-23T00:00:00"/>
        <d v="2024-07-18T00:00:00"/>
        <d v="2024-06-03T00:00:00"/>
        <d v="2024-05-22T00:00:00"/>
        <d v="2024-06-14T00:00:00"/>
        <d v="2024-11-10T00:00:00"/>
        <d v="2024-03-23T00:00:00"/>
        <d v="2024-05-11T00:00:00"/>
        <d v="2024-03-28T00:00:00"/>
        <d v="2024-08-06T00:00:00"/>
        <d v="2024-11-01T00:00:00"/>
        <d v="2024-12-11T00:00:00"/>
        <d v="2024-12-07T00:00:00"/>
        <d v="2024-06-10T00:00:00"/>
        <d v="2024-04-27T00:00:00"/>
        <d v="2024-11-23T00:00:00"/>
        <d v="2024-03-27T00:00:00"/>
        <d v="2024-10-16T00:00:00"/>
        <d v="2024-03-22T00:00:00"/>
        <d v="2024-03-02T00:00:00"/>
        <d v="2024-12-20T00:00:00"/>
        <d v="2024-01-29T00:00:00"/>
        <d v="2024-02-13T00:00:00"/>
        <d v="2024-06-18T00:00:00"/>
        <d v="2024-06-26T00:00:00"/>
        <d v="2024-01-18T00:00:00"/>
        <d v="2024-04-08T00:00:00"/>
        <d v="2024-07-17T00:00:00"/>
        <d v="2024-03-06T00:00:00"/>
        <d v="2024-11-26T00:00:00"/>
        <d v="2024-01-06T00:00:00"/>
        <d v="2024-01-03T00:00:00"/>
        <d v="2024-01-23T00:00:00"/>
        <d v="2024-04-22T00:00:00"/>
        <d v="2024-03-07T00:00:00"/>
        <d v="2024-05-24T00:00:00"/>
        <d v="2025-01-03T00:00:00"/>
        <d v="2024-05-05T00:00:00"/>
        <d v="2024-06-16T00:00:00"/>
        <d v="2024-03-17T00:00:00"/>
        <d v="2024-12-10T00:00:00"/>
        <d v="2024-10-21T00:00:00"/>
        <d v="2024-02-29T00:00:00"/>
        <d v="2024-05-18T00:00:00"/>
        <d v="2024-04-09T00:00:00"/>
        <d v="2024-08-31T00:00:00"/>
        <d v="2024-11-15T00:00:00"/>
        <d v="2024-02-02T00:00:00"/>
        <d v="2024-10-04T00:00:00"/>
        <d v="2024-01-21T00:00:00"/>
        <d v="2024-03-09T00:00:00"/>
        <d v="2025-01-01T00:00:00"/>
        <d v="2024-08-02T00:00:00"/>
        <d v="2024-08-20T00:00:00"/>
        <d v="2024-03-20T00:00:00"/>
        <d v="2024-04-26T00:00:00"/>
        <d v="2024-04-02T00:00:00"/>
        <d v="2024-06-17T00:00:00"/>
        <d v="2024-02-28T00:00:00"/>
        <d v="2024-10-11T00:00:00"/>
        <d v="2024-01-27T00:00:00"/>
        <d v="2025-01-04T00:00:00"/>
        <d v="2024-09-11T00:00:00"/>
        <d v="2024-04-07T00:00:00"/>
        <d v="2024-02-12T00:00:00"/>
        <d v="2024-08-15T00:00:00"/>
        <d v="2024-09-19T00:00:00"/>
        <d v="2024-10-06T00:00:00"/>
        <d v="2024-03-30T00:00:00"/>
        <d v="2024-07-16T00:00:00"/>
        <d v="2024-11-03T00:00:00"/>
        <d v="2024-09-24T00:00:00"/>
        <d v="2024-09-25T00:00:00"/>
        <d v="2024-01-09T00:00:00"/>
        <d v="2024-06-13T00:00:00"/>
        <d v="2024-03-26T00:00:00"/>
        <d v="2024-03-13T00:00:00"/>
        <d v="2024-02-25T00:00:00"/>
        <d v="2024-02-17T00:00:00"/>
        <d v="2024-08-26T00:00:00"/>
        <d v="2024-04-14T00:00:00"/>
        <d v="2024-07-29T00:00:00"/>
        <d v="2024-09-20T00:00:00"/>
        <d v="2024-12-31T00:00:00"/>
        <d v="2024-09-16T00:00:00"/>
        <d v="2024-10-10T00:00:00"/>
        <d v="2024-04-24T00:00:00"/>
        <d v="2024-02-10T00:00:00"/>
        <d v="2024-04-11T00:00:00"/>
        <d v="2024-06-25T00:00:00"/>
        <d v="2024-09-03T00:00:00"/>
        <d v="2024-10-02T00:00:00"/>
        <d v="2024-05-17T00:00:00"/>
        <d v="2024-01-13T00:00:00"/>
        <d v="2024-01-17T00:00:00"/>
        <d v="2024-03-04T00:00:00"/>
        <d v="2024-04-19T00:00:00"/>
        <d v="2024-06-07T00:00:00"/>
        <d v="2024-09-26T00:00:00"/>
        <d v="2024-06-11T00:00:00"/>
        <d v="2024-04-12T00:00:00"/>
        <d v="2024-08-11T00:00:00"/>
        <d v="2024-09-04T00:00:00"/>
        <d v="2024-05-08T00:00:00"/>
        <d v="2024-11-21T00:00:00"/>
        <d v="2024-01-26T00:00:00"/>
        <d v="2024-12-19T00:00:00"/>
        <d v="2024-10-08T00:00:00"/>
        <d v="2024-05-13T00:00:00"/>
        <d v="2024-07-08T00:00:00"/>
        <d v="2024-09-22T00:00:00"/>
        <d v="2024-05-14T00:00:00"/>
        <d v="2024-07-30T00:00:00"/>
        <d v="2024-03-01T00:00:00"/>
        <d v="2024-08-04T00:00:00"/>
        <d v="2024-08-14T00:00:00"/>
        <d v="2024-10-13T00:00:00"/>
        <d v="2024-06-05T00:00:00"/>
        <d v="2024-07-09T00:00:00"/>
        <d v="2024-06-29T00:00:00"/>
        <d v="2024-02-04T00:00:00"/>
        <d v="2024-02-11T00:00:00"/>
        <d v="2024-03-16T00:00:00"/>
        <d v="2024-05-30T00:00:00"/>
        <d v="2024-09-30T00:00:00"/>
        <d v="2024-04-18T00:00:00"/>
        <d v="2024-05-19T00:00:00"/>
        <d v="2024-12-16T00:00:00"/>
        <d v="2024-09-28T00:00:00"/>
        <d v="2024-12-13T00:00:00"/>
        <d v="2024-07-31T00:00:00"/>
        <d v="2024-09-29T00:00:00"/>
        <d v="2024-07-20T00:00:00"/>
        <d v="2024-05-04T00:00:00"/>
        <d v="2024-01-02T00:00:00"/>
        <d v="2024-12-09T00:00:00"/>
        <d v="2024-07-10T00:00:00"/>
        <d v="2024-03-08T00:00:00"/>
        <d v="2024-01-05T00:00:00"/>
        <d v="2024-10-30T00:00:00"/>
        <d v="2024-02-09T00:00:00"/>
        <d v="2024-12-21T00:00:00"/>
        <d v="2024-09-09T00:00:00"/>
        <d v="2024-11-29T00:00:00"/>
        <d v="2024-07-26T00:00:00"/>
        <d v="2024-04-25T00:00:00"/>
        <d v="2024-08-13T00:00:00"/>
        <d v="2024-09-08T00:00:00"/>
        <d v="2024-08-07T00:00:00"/>
        <d v="2024-04-01T00:00:00"/>
        <d v="2024-02-16T00:00:00"/>
        <d v="2024-02-08T00:00:00"/>
        <d v="2024-11-24T00:00:00"/>
        <d v="2024-05-27T00:00:00"/>
        <d v="2024-01-31T00:00:00"/>
        <d v="2024-11-30T00:00:00"/>
        <d v="2024-08-03T00:00:00"/>
        <d v="2024-03-24T00:00:00"/>
        <d v="2024-04-20T00:00:00"/>
        <d v="2024-06-22T00:00:00"/>
        <d v="2024-07-25T00:00:00"/>
        <d v="2024-03-14T00:00:00"/>
        <d v="2024-05-01T00:00:00"/>
        <d v="2024-11-13T00:00:00"/>
        <d v="2024-11-04T00:00:00"/>
        <d v="2024-11-05T00:00:00"/>
        <d v="2024-08-10T00:00:00"/>
        <d v="2024-09-21T00:00:00"/>
        <d v="2024-12-27T00:00:00"/>
        <d v="2024-09-12T00:00:00"/>
        <d v="2024-07-02T00:00:00"/>
        <d v="2024-03-03T00:00:00"/>
        <d v="2024-03-05T00:00:00"/>
        <d v="2024-02-20T00:00:00"/>
        <d v="2024-05-29T00:00:00"/>
        <d v="2024-10-31T00:00:00"/>
        <d v="2024-10-03T00:00:00"/>
        <d v="2024-12-23T00:00:00"/>
        <d v="2024-06-21T00:00:00"/>
        <d v="2024-11-20T00:00:00"/>
        <d v="2024-11-28T00:00:00"/>
        <d v="2024-01-16T00:00:00"/>
        <d v="2024-04-03T00:00:00"/>
        <d v="2024-06-06T00:00:00"/>
        <d v="2024-06-28T00:00:00"/>
        <d v="2024-05-12T00:00:00"/>
        <d v="2024-11-07T00:00:00"/>
        <d v="2024-12-14T00:00:00"/>
        <d v="2024-07-13T00:00:00"/>
        <d v="2024-09-14T00:00:00"/>
        <d v="2024-06-02T00:00:00"/>
        <d v="2024-05-16T00:00:00"/>
        <d v="2024-12-28T00:00:00"/>
        <d v="2024-08-29T00:00:00"/>
        <d v="2024-10-18T00:00:00"/>
        <d v="2024-08-25T00:00:00"/>
        <d v="2024-12-06T00:00:00"/>
        <d v="2024-11-08T00:00:00"/>
        <d v="2024-05-21T00:00:00"/>
        <d v="2024-11-14T00:00:00"/>
        <d v="2024-11-06T00:00:00"/>
        <d v="2024-08-21T00:00:00"/>
        <d v="2024-02-07T00:00:00"/>
        <d v="2024-02-15T00:00:00"/>
        <d v="2024-01-20T00:00:00"/>
        <d v="2024-08-28T00:00:00"/>
        <d v="2024-04-13T00:00:00"/>
      </sharedItems>
    </cacheField>
    <cacheField name="Room_Type" numFmtId="0">
      <sharedItems count="4">
        <s v="Semi-Private"/>
        <s v="General"/>
        <s v="Private"/>
        <s v="ICU"/>
      </sharedItems>
    </cacheField>
    <cacheField name="Length_of_Stay_Days" numFmtId="0">
      <sharedItems containsSemiMixedTypes="0" containsString="0" containsNumber="1" containsInteger="1" minValue="1" maxValue="19" count="19">
        <n v="17"/>
        <n v="10"/>
        <n v="4"/>
        <n v="8"/>
        <n v="18"/>
        <n v="14"/>
        <n v="15"/>
        <n v="13"/>
        <n v="12"/>
        <n v="2"/>
        <n v="11"/>
        <n v="9"/>
        <n v="6"/>
        <n v="5"/>
        <n v="1"/>
        <n v="19"/>
        <n v="16"/>
        <n v="7"/>
        <n v="3"/>
      </sharedItems>
    </cacheField>
    <cacheField name="Treatment_Cost" numFmtId="0">
      <sharedItems containsSemiMixedTypes="0" containsString="0" containsNumber="1" containsInteger="1" minValue="5192" maxValue="199028" count="499">
        <n v="147326"/>
        <n v="91610"/>
        <n v="16442"/>
        <n v="51289"/>
        <n v="58747"/>
        <n v="42327"/>
        <n v="152271"/>
        <n v="77827"/>
        <n v="111464"/>
        <n v="136184"/>
        <n v="92051"/>
        <n v="155653"/>
        <n v="64722"/>
        <n v="97036"/>
        <n v="152595"/>
        <n v="71960"/>
        <n v="24552"/>
        <n v="146880"/>
        <n v="159692"/>
        <n v="5887"/>
        <n v="36802"/>
        <n v="90024"/>
        <n v="123639"/>
        <n v="123248"/>
        <n v="86938"/>
        <n v="127746"/>
        <n v="31049"/>
        <n v="82789"/>
        <n v="89526"/>
        <n v="143918"/>
        <n v="51220"/>
        <n v="51163"/>
        <n v="139837"/>
        <n v="122126"/>
        <n v="86486"/>
        <n v="181342"/>
        <n v="80277"/>
        <n v="109245"/>
        <n v="127332"/>
        <n v="27931"/>
        <n v="94116"/>
        <n v="60633"/>
        <n v="56913"/>
        <n v="99776"/>
        <n v="30991"/>
        <n v="190917"/>
        <n v="109092"/>
        <n v="191384"/>
        <n v="146633"/>
        <n v="152973"/>
        <n v="100556"/>
        <n v="67875"/>
        <n v="161989"/>
        <n v="67120"/>
        <n v="138060"/>
        <n v="115041"/>
        <n v="133467"/>
        <n v="150328"/>
        <n v="123490"/>
        <n v="131155"/>
        <n v="33230"/>
        <n v="64778"/>
        <n v="50833"/>
        <n v="27625"/>
        <n v="37088"/>
        <n v="177239"/>
        <n v="108937"/>
        <n v="81361"/>
        <n v="93229"/>
        <n v="140189"/>
        <n v="95265"/>
        <n v="102718"/>
        <n v="65710"/>
        <n v="99876"/>
        <n v="35949"/>
        <n v="158619"/>
        <n v="73136"/>
        <n v="116541"/>
        <n v="66842"/>
        <n v="31990"/>
        <n v="152265"/>
        <n v="35109"/>
        <n v="135356"/>
        <n v="155305"/>
        <n v="133133"/>
        <n v="170582"/>
        <n v="6306"/>
        <n v="8849"/>
        <n v="17360"/>
        <n v="116072"/>
        <n v="99767"/>
        <n v="181872"/>
        <n v="173035"/>
        <n v="59330"/>
        <n v="56707"/>
        <n v="23689"/>
        <n v="34084"/>
        <n v="45387"/>
        <n v="79816"/>
        <n v="7642"/>
        <n v="47137"/>
        <n v="191633"/>
        <n v="67260"/>
        <n v="151510"/>
        <n v="53442"/>
        <n v="108061"/>
        <n v="139066"/>
        <n v="130844"/>
        <n v="104575"/>
        <n v="6813"/>
        <n v="98027"/>
        <n v="128489"/>
        <n v="89381"/>
        <n v="60276"/>
        <n v="46243"/>
        <n v="198984"/>
        <n v="65272"/>
        <n v="178123"/>
        <n v="70618"/>
        <n v="6920"/>
        <n v="111121"/>
        <n v="81872"/>
        <n v="86132"/>
        <n v="7093"/>
        <n v="17905"/>
        <n v="126759"/>
        <n v="160423"/>
        <n v="35981"/>
        <n v="78903"/>
        <n v="75821"/>
        <n v="114200"/>
        <n v="87289"/>
        <n v="121506"/>
        <n v="83513"/>
        <n v="155946"/>
        <n v="187003"/>
        <n v="143746"/>
        <n v="55516"/>
        <n v="196758"/>
        <n v="74212"/>
        <n v="138498"/>
        <n v="135970"/>
        <n v="95009"/>
        <n v="166015"/>
        <n v="49816"/>
        <n v="9138"/>
        <n v="96176"/>
        <n v="80945"/>
        <n v="9017"/>
        <n v="15451"/>
        <n v="199028"/>
        <n v="98863"/>
        <n v="15278"/>
        <n v="48764"/>
        <n v="128030"/>
        <n v="137206"/>
        <n v="67943"/>
        <n v="100667"/>
        <n v="59318"/>
        <n v="108423"/>
        <n v="108998"/>
        <n v="65128"/>
        <n v="26869"/>
        <n v="10039"/>
        <n v="157353"/>
        <n v="117935"/>
        <n v="15442"/>
        <n v="78788"/>
        <n v="124729"/>
        <n v="32586"/>
        <n v="58053"/>
        <n v="186561"/>
        <n v="91346"/>
        <n v="72087"/>
        <n v="148697"/>
        <n v="39397"/>
        <n v="63671"/>
        <n v="121214"/>
        <n v="71897"/>
        <n v="162221"/>
        <n v="196102"/>
        <n v="141355"/>
        <n v="143682"/>
        <n v="179398"/>
        <n v="19924"/>
        <n v="118143"/>
        <n v="115253"/>
        <n v="105297"/>
        <n v="5869"/>
        <n v="102088"/>
        <n v="6014"/>
        <n v="15103"/>
        <n v="115317"/>
        <n v="169530"/>
        <n v="87409"/>
        <n v="28248"/>
        <n v="179588"/>
        <n v="165133"/>
        <n v="160242"/>
        <n v="13024"/>
        <n v="90947"/>
        <n v="179875"/>
        <n v="155368"/>
        <n v="96829"/>
        <n v="97708"/>
        <n v="91664"/>
        <n v="154329"/>
        <n v="148927"/>
        <n v="90178"/>
        <n v="106121"/>
        <n v="25025"/>
        <n v="140530"/>
        <n v="68610"/>
        <n v="75843"/>
        <n v="112237"/>
        <n v="185903"/>
        <n v="179499"/>
        <n v="135299"/>
        <n v="174578"/>
        <n v="10668"/>
        <n v="183267"/>
        <n v="78233"/>
        <n v="160489"/>
        <n v="86982"/>
        <n v="111133"/>
        <n v="15751"/>
        <n v="51218"/>
        <n v="131649"/>
        <n v="12352"/>
        <n v="93835"/>
        <n v="102493"/>
        <n v="33927"/>
        <n v="177166"/>
        <n v="106948"/>
        <n v="190194"/>
        <n v="34493"/>
        <n v="36707"/>
        <n v="143368"/>
        <n v="161470"/>
        <n v="40842"/>
        <n v="18261"/>
        <n v="81709"/>
        <n v="100985"/>
        <n v="111616"/>
        <n v="192776"/>
        <n v="72173"/>
        <n v="36781"/>
        <n v="18652"/>
        <n v="10103"/>
        <n v="30500"/>
        <n v="105336"/>
        <n v="171601"/>
        <n v="118499"/>
        <n v="154524"/>
        <n v="54393"/>
        <n v="167246"/>
        <n v="171508"/>
        <n v="52406"/>
        <n v="68059"/>
        <n v="152026"/>
        <n v="87722"/>
        <n v="17356"/>
        <n v="133128"/>
        <n v="7187"/>
        <n v="82243"/>
        <n v="40098"/>
        <n v="157297"/>
        <n v="139678"/>
        <n v="62620"/>
        <n v="168900"/>
        <n v="131270"/>
        <n v="162561"/>
        <n v="19387"/>
        <n v="74463"/>
        <n v="138663"/>
        <n v="184588"/>
        <n v="96683"/>
        <n v="67061"/>
        <n v="86257"/>
        <n v="66753"/>
        <n v="89774"/>
        <n v="147159"/>
        <n v="166888"/>
        <n v="28408"/>
        <n v="129116"/>
        <n v="136208"/>
        <n v="22413"/>
        <n v="118650"/>
        <n v="64500"/>
        <n v="89514"/>
        <n v="61358"/>
        <n v="71197"/>
        <n v="168926"/>
        <n v="81240"/>
        <n v="21322"/>
        <n v="118053"/>
        <n v="11968"/>
        <n v="32518"/>
        <n v="56925"/>
        <n v="195920"/>
        <n v="116900"/>
        <n v="98422"/>
        <n v="6700"/>
        <n v="98782"/>
        <n v="28199"/>
        <n v="180661"/>
        <n v="168187"/>
        <n v="198006"/>
        <n v="190388"/>
        <n v="10520"/>
        <n v="114814"/>
        <n v="172527"/>
        <n v="128364"/>
        <n v="177677"/>
        <n v="19955"/>
        <n v="180121"/>
        <n v="149989"/>
        <n v="69925"/>
        <n v="112216"/>
        <n v="75269"/>
        <n v="167026"/>
        <n v="46458"/>
        <n v="94037"/>
        <n v="157185"/>
        <n v="104977"/>
        <n v="48939"/>
        <n v="34345"/>
        <n v="182385"/>
        <n v="115107"/>
        <n v="126866"/>
        <n v="74166"/>
        <n v="183933"/>
        <n v="102406"/>
        <n v="54298"/>
        <n v="183293"/>
        <n v="49942"/>
        <n v="8453"/>
        <n v="107811"/>
        <n v="59935"/>
        <n v="127439"/>
        <n v="179442"/>
        <n v="13328"/>
        <n v="20534"/>
        <n v="90280"/>
        <n v="41320"/>
        <n v="54170"/>
        <n v="105546"/>
        <n v="85201"/>
        <n v="13640"/>
        <n v="166121"/>
        <n v="141690"/>
        <n v="192125"/>
        <n v="137992"/>
        <n v="48937"/>
        <n v="148279"/>
        <n v="169044"/>
        <n v="146871"/>
        <n v="164988"/>
        <n v="75463"/>
        <n v="98500"/>
        <n v="42158"/>
        <n v="89607"/>
        <n v="124639"/>
        <n v="76696"/>
        <n v="66510"/>
        <n v="125076"/>
        <n v="63692"/>
        <n v="135841"/>
        <n v="197816"/>
        <n v="20810"/>
        <n v="141198"/>
        <n v="166081"/>
        <n v="116718"/>
        <n v="95932"/>
        <n v="5192"/>
        <n v="41413"/>
        <n v="148888"/>
        <n v="44082"/>
        <n v="70048"/>
        <n v="128130"/>
        <n v="55940"/>
        <n v="168202"/>
        <n v="45142"/>
        <n v="41468"/>
        <n v="166770"/>
        <n v="146727"/>
        <n v="183969"/>
        <n v="166147"/>
        <n v="145431"/>
        <n v="134048"/>
        <n v="47056"/>
        <n v="56831"/>
        <n v="64191"/>
        <n v="126948"/>
        <n v="169344"/>
        <n v="113117"/>
        <n v="19671"/>
        <n v="32048"/>
        <n v="30963"/>
        <n v="48954"/>
        <n v="100430"/>
        <n v="5717"/>
        <n v="16676"/>
        <n v="140506"/>
        <n v="185882"/>
        <n v="123696"/>
        <n v="135830"/>
        <n v="9994"/>
        <n v="9234"/>
        <n v="74300"/>
        <n v="48949"/>
        <n v="42405"/>
        <n v="39872"/>
        <n v="47215"/>
        <n v="28185"/>
        <n v="179514"/>
        <n v="187831"/>
        <n v="46153"/>
        <n v="82535"/>
        <n v="138653"/>
        <n v="56717"/>
        <n v="7763"/>
        <n v="97910"/>
        <n v="60480"/>
        <n v="174831"/>
        <n v="123094"/>
        <n v="161379"/>
        <n v="16064"/>
        <n v="81848"/>
        <n v="42548"/>
        <n v="173017"/>
        <n v="184009"/>
        <n v="11476"/>
        <n v="187828"/>
        <n v="95101"/>
        <n v="7382"/>
        <n v="185755"/>
        <n v="181348"/>
        <n v="169474"/>
        <n v="163018"/>
        <n v="84698"/>
        <n v="158407"/>
        <n v="50095"/>
        <n v="134974"/>
        <n v="32197"/>
        <n v="132619"/>
        <n v="27010"/>
        <n v="160195"/>
        <n v="92923"/>
        <n v="138962"/>
        <n v="135526"/>
        <n v="114162"/>
        <n v="125927"/>
        <n v="13026"/>
        <n v="73842"/>
        <n v="38665"/>
        <n v="14277"/>
        <n v="178311"/>
        <n v="183736"/>
        <n v="53008"/>
        <n v="19683"/>
        <n v="136742"/>
        <n v="153961"/>
        <n v="191684"/>
        <n v="180607"/>
        <n v="83542"/>
        <n v="59319"/>
        <n v="97067"/>
        <n v="157711"/>
        <n v="152705"/>
        <n v="170732"/>
        <n v="73975"/>
        <n v="168244"/>
        <n v="195269"/>
        <n v="106158"/>
        <n v="194919"/>
        <n v="16577"/>
        <n v="82299"/>
        <n v="25176"/>
        <n v="180458"/>
        <n v="68972"/>
        <n v="125018"/>
        <n v="177075"/>
        <n v="24996"/>
        <n v="105922"/>
        <n v="91598"/>
        <n v="40931"/>
        <n v="129168"/>
        <n v="171782"/>
        <n v="128099"/>
        <n v="39693"/>
        <n v="171812"/>
        <n v="113944"/>
        <n v="22374"/>
        <n v="86471"/>
        <n v="50913"/>
        <n v="128683"/>
        <n v="49516"/>
        <n v="92796"/>
      </sharedItems>
    </cacheField>
    <cacheField name="Medicine_Cost" numFmtId="0">
      <sharedItems containsSemiMixedTypes="0" containsString="0" containsNumber="1" containsInteger="1" minValue="1203" maxValue="49920" count="495">
        <n v="27069"/>
        <n v="20275"/>
        <n v="37284"/>
        <n v="40178"/>
        <n v="33821"/>
        <n v="17999"/>
        <n v="39712"/>
        <n v="41172"/>
        <n v="34722"/>
        <n v="11625"/>
        <n v="2629"/>
        <n v="11973"/>
        <n v="7859"/>
        <n v="42609"/>
        <n v="44307"/>
        <n v="46450"/>
        <n v="37046"/>
        <n v="22839"/>
        <n v="28216"/>
        <n v="19945"/>
        <n v="7539"/>
        <n v="34625"/>
        <n v="5886"/>
        <n v="46713"/>
        <n v="8485"/>
        <n v="32455"/>
        <n v="47448"/>
        <n v="17767"/>
        <n v="48165"/>
        <n v="29453"/>
        <n v="11744"/>
        <n v="38102"/>
        <n v="13226"/>
        <n v="28869"/>
        <n v="23588"/>
        <n v="14440"/>
        <n v="32709"/>
        <n v="48788"/>
        <n v="23495"/>
        <n v="38019"/>
        <n v="45948"/>
        <n v="49908"/>
        <n v="1922"/>
        <n v="28526"/>
        <n v="8957"/>
        <n v="49564"/>
        <n v="34998"/>
        <n v="44395"/>
        <n v="25031"/>
        <n v="11006"/>
        <n v="38701"/>
        <n v="48063"/>
        <n v="26939"/>
        <n v="21324"/>
        <n v="23867"/>
        <n v="1203"/>
        <n v="17544"/>
        <n v="16899"/>
        <n v="30063"/>
        <n v="26344"/>
        <n v="4748"/>
        <n v="40486"/>
        <n v="2093"/>
        <n v="16228"/>
        <n v="21884"/>
        <n v="26183"/>
        <n v="17034"/>
        <n v="6710"/>
        <n v="43500"/>
        <n v="20259"/>
        <n v="36959"/>
        <n v="34457"/>
        <n v="21143"/>
        <n v="3103"/>
        <n v="1365"/>
        <n v="47778"/>
        <n v="45535"/>
        <n v="17103"/>
        <n v="33510"/>
        <n v="25476"/>
        <n v="13742"/>
        <n v="13391"/>
        <n v="37940"/>
        <n v="29901"/>
        <n v="33001"/>
        <n v="16623"/>
        <n v="3378"/>
        <n v="22372"/>
        <n v="45799"/>
        <n v="39437"/>
        <n v="36503"/>
        <n v="31746"/>
        <n v="28923"/>
        <n v="10867"/>
        <n v="42258"/>
        <n v="34724"/>
        <n v="10306"/>
        <n v="40391"/>
        <n v="15908"/>
        <n v="28081"/>
        <n v="38228"/>
        <n v="24386"/>
        <n v="47754"/>
        <n v="46406"/>
        <n v="29302"/>
        <n v="20212"/>
        <n v="36618"/>
        <n v="47067"/>
        <n v="11698"/>
        <n v="5594"/>
        <n v="26525"/>
        <n v="15282"/>
        <n v="15334"/>
        <n v="30179"/>
        <n v="7644"/>
        <n v="48701"/>
        <n v="33933"/>
        <n v="44469"/>
        <n v="34687"/>
        <n v="42073"/>
        <n v="18375"/>
        <n v="49483"/>
        <n v="31926"/>
        <n v="37607"/>
        <n v="18642"/>
        <n v="24993"/>
        <n v="45386"/>
        <n v="47287"/>
        <n v="22188"/>
        <n v="33596"/>
        <n v="28772"/>
        <n v="31857"/>
        <n v="11776"/>
        <n v="33835"/>
        <n v="10788"/>
        <n v="6660"/>
        <n v="5478"/>
        <n v="9210"/>
        <n v="11922"/>
        <n v="37289"/>
        <n v="34340"/>
        <n v="40850"/>
        <n v="39163"/>
        <n v="49175"/>
        <n v="19642"/>
        <n v="12094"/>
        <n v="23423"/>
        <n v="34418"/>
        <n v="6741"/>
        <n v="47049"/>
        <n v="7838"/>
        <n v="4262"/>
        <n v="5996"/>
        <n v="45594"/>
        <n v="23164"/>
        <n v="36595"/>
        <n v="31257"/>
        <n v="15211"/>
        <n v="31453"/>
        <n v="6232"/>
        <n v="3217"/>
        <n v="25229"/>
        <n v="15232"/>
        <n v="26613"/>
        <n v="15026"/>
        <n v="29554"/>
        <n v="31908"/>
        <n v="20610"/>
        <n v="47646"/>
        <n v="40605"/>
        <n v="8031"/>
        <n v="48574"/>
        <n v="26515"/>
        <n v="37484"/>
        <n v="37182"/>
        <n v="1570"/>
        <n v="33254"/>
        <n v="20288"/>
        <n v="14288"/>
        <n v="30877"/>
        <n v="19889"/>
        <n v="1917"/>
        <n v="11066"/>
        <n v="30504"/>
        <n v="7982"/>
        <n v="40104"/>
        <n v="19062"/>
        <n v="10941"/>
        <n v="24470"/>
        <n v="46148"/>
        <n v="22133"/>
        <n v="45435"/>
        <n v="5529"/>
        <n v="18519"/>
        <n v="13192"/>
        <n v="9566"/>
        <n v="8226"/>
        <n v="38930"/>
        <n v="22259"/>
        <n v="35087"/>
        <n v="2141"/>
        <n v="5627"/>
        <n v="48269"/>
        <n v="3690"/>
        <n v="41091"/>
        <n v="4255"/>
        <n v="6213"/>
        <n v="37876"/>
        <n v="20404"/>
        <n v="26380"/>
        <n v="26520"/>
        <n v="20173"/>
        <n v="24989"/>
        <n v="43570"/>
        <n v="25519"/>
        <n v="23439"/>
        <n v="12413"/>
        <n v="15995"/>
        <n v="24559"/>
        <n v="46351"/>
        <n v="24513"/>
        <n v="6021"/>
        <n v="33464"/>
        <n v="22119"/>
        <n v="30299"/>
        <n v="40350"/>
        <n v="47223"/>
        <n v="26517"/>
        <n v="14117"/>
        <n v="23250"/>
        <n v="19950"/>
        <n v="18359"/>
        <n v="24596"/>
        <n v="26530"/>
        <n v="2262"/>
        <n v="41150"/>
        <n v="23615"/>
        <n v="4327"/>
        <n v="30768"/>
        <n v="29850"/>
        <n v="43788"/>
        <n v="17848"/>
        <n v="47830"/>
        <n v="40542"/>
        <n v="16160"/>
        <n v="28230"/>
        <n v="10076"/>
        <n v="4805"/>
        <n v="32085"/>
        <n v="15715"/>
        <n v="6750"/>
        <n v="49395"/>
        <n v="14232"/>
        <n v="36903"/>
        <n v="7953"/>
        <n v="33093"/>
        <n v="26500"/>
        <n v="23418"/>
        <n v="35314"/>
        <n v="49225"/>
        <n v="23449"/>
        <n v="18478"/>
        <n v="36179"/>
        <n v="47881"/>
        <n v="26338"/>
        <n v="27899"/>
        <n v="5145"/>
        <n v="33101"/>
        <n v="3775"/>
        <n v="46961"/>
        <n v="32647"/>
        <n v="46619"/>
        <n v="46838"/>
        <n v="20539"/>
        <n v="37738"/>
        <n v="27616"/>
        <n v="15119"/>
        <n v="26159"/>
        <n v="38099"/>
        <n v="11295"/>
        <n v="35710"/>
        <n v="25685"/>
        <n v="26479"/>
        <n v="47172"/>
        <n v="34629"/>
        <n v="43043"/>
        <n v="18033"/>
        <n v="37902"/>
        <n v="45571"/>
        <n v="16408"/>
        <n v="18420"/>
        <n v="17351"/>
        <n v="5131"/>
        <n v="45825"/>
        <n v="12349"/>
        <n v="45254"/>
        <n v="39225"/>
        <n v="39847"/>
        <n v="13453"/>
        <n v="19814"/>
        <n v="19263"/>
        <n v="13158"/>
        <n v="16735"/>
        <n v="16830"/>
        <n v="48893"/>
        <n v="45673"/>
        <n v="24926"/>
        <n v="46066"/>
        <n v="35779"/>
        <n v="4373"/>
        <n v="11335"/>
        <n v="24741"/>
        <n v="11692"/>
        <n v="48295"/>
        <n v="46541"/>
        <n v="35057"/>
        <n v="2447"/>
        <n v="20583"/>
        <n v="23765"/>
        <n v="24906"/>
        <n v="20567"/>
        <n v="15139"/>
        <n v="47525"/>
        <n v="39230"/>
        <n v="20520"/>
        <n v="20702"/>
        <n v="26566"/>
        <n v="8657"/>
        <n v="38688"/>
        <n v="31134"/>
        <n v="11345"/>
        <n v="42185"/>
        <n v="28413"/>
        <n v="6208"/>
        <n v="34455"/>
        <n v="29018"/>
        <n v="46991"/>
        <n v="9080"/>
        <n v="22902"/>
        <n v="10486"/>
        <n v="39862"/>
        <n v="22158"/>
        <n v="41460"/>
        <n v="44856"/>
        <n v="36871"/>
        <n v="36208"/>
        <n v="21519"/>
        <n v="32379"/>
        <n v="29378"/>
        <n v="40892"/>
        <n v="15031"/>
        <n v="15536"/>
        <n v="1446"/>
        <n v="37683"/>
        <n v="49555"/>
        <n v="18618"/>
        <n v="7587"/>
        <n v="32480"/>
        <n v="33994"/>
        <n v="21527"/>
        <n v="24569"/>
        <n v="12151"/>
        <n v="6558"/>
        <n v="45739"/>
        <n v="33954"/>
        <n v="48448"/>
        <n v="48327"/>
        <n v="44837"/>
        <n v="36303"/>
        <n v="35700"/>
        <n v="28500"/>
        <n v="3032"/>
        <n v="2252"/>
        <n v="6509"/>
        <n v="38842"/>
        <n v="14900"/>
        <n v="15523"/>
        <n v="2881"/>
        <n v="34037"/>
        <n v="2630"/>
        <n v="21789"/>
        <n v="23523"/>
        <n v="18958"/>
        <n v="47151"/>
        <n v="49920"/>
        <n v="44852"/>
        <n v="2695"/>
        <n v="15821"/>
        <n v="2445"/>
        <n v="17436"/>
        <n v="10949"/>
        <n v="24963"/>
        <n v="30932"/>
        <n v="7901"/>
        <n v="34487"/>
        <n v="9597"/>
        <n v="7855"/>
        <n v="19678"/>
        <n v="9263"/>
        <n v="48288"/>
        <n v="26805"/>
        <n v="27143"/>
        <n v="12874"/>
        <n v="28529"/>
        <n v="21866"/>
        <n v="15079"/>
        <n v="8243"/>
        <n v="30872"/>
        <n v="10018"/>
        <n v="13100"/>
        <n v="20800"/>
        <n v="27910"/>
        <n v="30437"/>
        <n v="38588"/>
        <n v="12001"/>
        <n v="47675"/>
        <n v="20942"/>
        <n v="21862"/>
        <n v="12669"/>
        <n v="16916"/>
        <n v="11878"/>
        <n v="3985"/>
        <n v="33369"/>
        <n v="9112"/>
        <n v="42235"/>
        <n v="19931"/>
        <n v="28340"/>
        <n v="1336"/>
        <n v="43933"/>
        <n v="20363"/>
        <n v="46536"/>
        <n v="4968"/>
        <n v="34678"/>
        <n v="49400"/>
        <n v="17279"/>
        <n v="4129"/>
        <n v="39215"/>
        <n v="39897"/>
        <n v="6850"/>
        <n v="21588"/>
        <n v="41214"/>
        <n v="12949"/>
        <n v="9519"/>
        <n v="27375"/>
        <n v="34082"/>
        <n v="12737"/>
        <n v="2134"/>
        <n v="11938"/>
        <n v="25486"/>
        <n v="49356"/>
        <n v="27096"/>
        <n v="42115"/>
        <n v="6592"/>
        <n v="19108"/>
        <n v="18270"/>
        <n v="28649"/>
        <n v="11997"/>
        <n v="34489"/>
        <n v="10104"/>
        <n v="1870"/>
        <n v="29684"/>
        <n v="40519"/>
        <n v="35524"/>
        <n v="31957"/>
        <n v="34885"/>
        <n v="45369"/>
        <n v="36596"/>
        <n v="30866"/>
        <n v="31676"/>
        <n v="48764"/>
        <n v="14878"/>
        <n v="40760"/>
        <n v="28559"/>
        <n v="47546"/>
        <n v="7771"/>
        <n v="17526"/>
        <n v="30896"/>
        <n v="32923"/>
        <n v="37203"/>
        <n v="40390"/>
        <n v="13852"/>
        <n v="44391"/>
        <n v="2848"/>
        <n v="32027"/>
        <n v="36464"/>
        <n v="35485"/>
        <n v="20456"/>
        <n v="10259"/>
        <n v="36554"/>
        <n v="47922"/>
        <n v="14409"/>
        <n v="4791"/>
        <n v="26864"/>
        <n v="37639"/>
        <n v="35574"/>
      </sharedItems>
    </cacheField>
    <cacheField name="Lab_Test_Cost" numFmtId="0">
      <sharedItems containsSemiMixedTypes="0" containsString="0" containsNumber="1" containsInteger="1" minValue="691" maxValue="29932" count="493">
        <n v="18388"/>
        <n v="20192"/>
        <n v="24001"/>
        <n v="13804"/>
        <n v="21932"/>
        <n v="28027"/>
        <n v="25147"/>
        <n v="18574"/>
        <n v="16049"/>
        <n v="26420"/>
        <n v="3803"/>
        <n v="19997"/>
        <n v="16561"/>
        <n v="25958"/>
        <n v="29310"/>
        <n v="27738"/>
        <n v="24734"/>
        <n v="15698"/>
        <n v="23300"/>
        <n v="11155"/>
        <n v="27629"/>
        <n v="9424"/>
        <n v="10440"/>
        <n v="4424"/>
        <n v="25499"/>
        <n v="28554"/>
        <n v="10283"/>
        <n v="4985"/>
        <n v="13129"/>
        <n v="13733"/>
        <n v="13401"/>
        <n v="24984"/>
        <n v="25568"/>
        <n v="691"/>
        <n v="25574"/>
        <n v="5417"/>
        <n v="6331"/>
        <n v="26332"/>
        <n v="10660"/>
        <n v="21206"/>
        <n v="14182"/>
        <n v="27262"/>
        <n v="23883"/>
        <n v="25892"/>
        <n v="28296"/>
        <n v="24166"/>
        <n v="26549"/>
        <n v="26162"/>
        <n v="12891"/>
        <n v="2374"/>
        <n v="9562"/>
        <n v="5263"/>
        <n v="10734"/>
        <n v="25348"/>
        <n v="9721"/>
        <n v="11910"/>
        <n v="15019"/>
        <n v="29145"/>
        <n v="1551"/>
        <n v="12725"/>
        <n v="10265"/>
        <n v="11882"/>
        <n v="13080"/>
        <n v="24422"/>
        <n v="24295"/>
        <n v="12489"/>
        <n v="28365"/>
        <n v="23204"/>
        <n v="12439"/>
        <n v="18989"/>
        <n v="807"/>
        <n v="24621"/>
        <n v="3859"/>
        <n v="3676"/>
        <n v="1751"/>
        <n v="5866"/>
        <n v="27823"/>
        <n v="18401"/>
        <n v="6726"/>
        <n v="22189"/>
        <n v="26454"/>
        <n v="22753"/>
        <n v="24923"/>
        <n v="14830"/>
        <n v="5391"/>
        <n v="5492"/>
        <n v="2461"/>
        <n v="12997"/>
        <n v="19747"/>
        <n v="11348"/>
        <n v="27570"/>
        <n v="23487"/>
        <n v="13755"/>
        <n v="5067"/>
        <n v="16579"/>
        <n v="7013"/>
        <n v="15735"/>
        <n v="20889"/>
        <n v="12255"/>
        <n v="25998"/>
        <n v="29308"/>
        <n v="29538"/>
        <n v="11651"/>
        <n v="17067"/>
        <n v="24639"/>
        <n v="3858"/>
        <n v="23499"/>
        <n v="10090"/>
        <n v="23681"/>
        <n v="11488"/>
        <n v="25612"/>
        <n v="8178"/>
        <n v="6198"/>
        <n v="1773"/>
        <n v="28043"/>
        <n v="23537"/>
        <n v="11741"/>
        <n v="17980"/>
        <n v="9997"/>
        <n v="9607"/>
        <n v="11773"/>
        <n v="8502"/>
        <n v="4747"/>
        <n v="9720"/>
        <n v="22198"/>
        <n v="27053"/>
        <n v="20238"/>
        <n v="11203"/>
        <n v="15972"/>
        <n v="17154"/>
        <n v="18070"/>
        <n v="29631"/>
        <n v="12892"/>
        <n v="12456"/>
        <n v="16141"/>
        <n v="14498"/>
        <n v="6805"/>
        <n v="19282"/>
        <n v="13221"/>
        <n v="7495"/>
        <n v="12927"/>
        <n v="14282"/>
        <n v="24183"/>
        <n v="21066"/>
        <n v="26787"/>
        <n v="2730"/>
        <n v="7011"/>
        <n v="17012"/>
        <n v="9961"/>
        <n v="20556"/>
        <n v="26677"/>
        <n v="5265"/>
        <n v="20854"/>
        <n v="24429"/>
        <n v="29320"/>
        <n v="13772"/>
        <n v="6052"/>
        <n v="1127"/>
        <n v="14280"/>
        <n v="7089"/>
        <n v="2544"/>
        <n v="28628"/>
        <n v="13671"/>
        <n v="19225"/>
        <n v="6384"/>
        <n v="28290"/>
        <n v="8685"/>
        <n v="749"/>
        <n v="19809"/>
        <n v="21927"/>
        <n v="17858"/>
        <n v="26401"/>
        <n v="24076"/>
        <n v="9675"/>
        <n v="25964"/>
        <n v="28013"/>
        <n v="16760"/>
        <n v="27193"/>
        <n v="3172"/>
        <n v="7779"/>
        <n v="24415"/>
        <n v="26402"/>
        <n v="9162"/>
        <n v="2487"/>
        <n v="16974"/>
        <n v="25605"/>
        <n v="13448"/>
        <n v="20943"/>
        <n v="13526"/>
        <n v="3273"/>
        <n v="13659"/>
        <n v="10378"/>
        <n v="25267"/>
        <n v="10678"/>
        <n v="28699"/>
        <n v="24293"/>
        <n v="10877"/>
        <n v="21324"/>
        <n v="7847"/>
        <n v="1508"/>
        <n v="4283"/>
        <n v="23530"/>
        <n v="4798"/>
        <n v="5168"/>
        <n v="21171"/>
        <n v="2552"/>
        <n v="22893"/>
        <n v="28384"/>
        <n v="2216"/>
        <n v="810"/>
        <n v="14891"/>
        <n v="21422"/>
        <n v="1760"/>
        <n v="13657"/>
        <n v="20816"/>
        <n v="11960"/>
        <n v="17468"/>
        <n v="27875"/>
        <n v="24500"/>
        <n v="25435"/>
        <n v="14511"/>
        <n v="3366"/>
        <n v="14865"/>
        <n v="6398"/>
        <n v="18895"/>
        <n v="6751"/>
        <n v="5439"/>
        <n v="4506"/>
        <n v="2125"/>
        <n v="11456"/>
        <n v="17774"/>
        <n v="6578"/>
        <n v="23920"/>
        <n v="9423"/>
        <n v="4461"/>
        <n v="29777"/>
        <n v="19388"/>
        <n v="9306"/>
        <n v="20690"/>
        <n v="22984"/>
        <n v="18603"/>
        <n v="29845"/>
        <n v="14058"/>
        <n v="7186"/>
        <n v="2087"/>
        <n v="23884"/>
        <n v="10303"/>
        <n v="17780"/>
        <n v="22442"/>
        <n v="25353"/>
        <n v="21531"/>
        <n v="26712"/>
        <n v="10850"/>
        <n v="19316"/>
        <n v="20788"/>
        <n v="29932"/>
        <n v="11954"/>
        <n v="16349"/>
        <n v="7337"/>
        <n v="1949"/>
        <n v="21384"/>
        <n v="5954"/>
        <n v="9924"/>
        <n v="4617"/>
        <n v="9369"/>
        <n v="11350"/>
        <n v="18912"/>
        <n v="14843"/>
        <n v="7345"/>
        <n v="20642"/>
        <n v="22788"/>
        <n v="5124"/>
        <n v="27113"/>
        <n v="27725"/>
        <n v="9348"/>
        <n v="17049"/>
        <n v="13636"/>
        <n v="21475"/>
        <n v="1089"/>
        <n v="21408"/>
        <n v="19705"/>
        <n v="29334"/>
        <n v="7009"/>
        <n v="8193"/>
        <n v="9954"/>
        <n v="16955"/>
        <n v="12208"/>
        <n v="13442"/>
        <n v="20464"/>
        <n v="24846"/>
        <n v="17152"/>
        <n v="10468"/>
        <n v="2962"/>
        <n v="9960"/>
        <n v="1515"/>
        <n v="27798"/>
        <n v="9775"/>
        <n v="29177"/>
        <n v="13769"/>
        <n v="24868"/>
        <n v="906"/>
        <n v="7884"/>
        <n v="22933"/>
        <n v="23053"/>
        <n v="24866"/>
        <n v="11768"/>
        <n v="17869"/>
        <n v="12295"/>
        <n v="9401"/>
        <n v="3118"/>
        <n v="29925"/>
        <n v="23173"/>
        <n v="10103"/>
        <n v="7428"/>
        <n v="5868"/>
        <n v="5121"/>
        <n v="26561"/>
        <n v="28026"/>
        <n v="15219"/>
        <n v="29727"/>
        <n v="11626"/>
        <n v="8066"/>
        <n v="12806"/>
        <n v="21554"/>
        <n v="24542"/>
        <n v="15586"/>
        <n v="17887"/>
        <n v="27542"/>
        <n v="24388"/>
        <n v="19350"/>
        <n v="27014"/>
        <n v="18823"/>
        <n v="18519"/>
        <n v="10390"/>
        <n v="8595"/>
        <n v="23149"/>
        <n v="13219"/>
        <n v="10783"/>
        <n v="18779"/>
        <n v="14731"/>
        <n v="23408"/>
        <n v="29316"/>
        <n v="28474"/>
        <n v="15198"/>
        <n v="17957"/>
        <n v="5684"/>
        <n v="2902"/>
        <n v="5395"/>
        <n v="24215"/>
        <n v="11904"/>
        <n v="29113"/>
        <n v="15661"/>
        <n v="9843"/>
        <n v="11137"/>
        <n v="2456"/>
        <n v="7523"/>
        <n v="29634"/>
        <n v="14562"/>
        <n v="14833"/>
        <n v="4407"/>
        <n v="1307"/>
        <n v="25262"/>
        <n v="14531"/>
        <n v="5327"/>
        <n v="14199"/>
        <n v="5024"/>
        <n v="15693"/>
        <n v="26383"/>
        <n v="16723"/>
        <n v="19168"/>
        <n v="5813"/>
        <n v="14098"/>
        <n v="13558"/>
        <n v="17641"/>
        <n v="29307"/>
        <n v="5387"/>
        <n v="4354"/>
        <n v="12958"/>
        <n v="27282"/>
        <n v="15036"/>
        <n v="4058"/>
        <n v="10272"/>
        <n v="17845"/>
        <n v="20731"/>
        <n v="23610"/>
        <n v="4075"/>
        <n v="25951"/>
        <n v="2918"/>
        <n v="4698"/>
        <n v="1501"/>
        <n v="22128"/>
        <n v="28460"/>
        <n v="7619"/>
        <n v="20950"/>
        <n v="19729"/>
        <n v="10173"/>
        <n v="28377"/>
        <n v="25733"/>
        <n v="5816"/>
        <n v="16744"/>
        <n v="27856"/>
        <n v="17306"/>
        <n v="23599"/>
        <n v="12373"/>
        <n v="4766"/>
        <n v="8049"/>
        <n v="23200"/>
        <n v="19594"/>
        <n v="25528"/>
        <n v="11089"/>
        <n v="24953"/>
        <n v="27051"/>
        <n v="2157"/>
        <n v="19425"/>
        <n v="7263"/>
        <n v="19959"/>
        <n v="3664"/>
        <n v="28042"/>
        <n v="18937"/>
        <n v="8979"/>
        <n v="6237"/>
        <n v="20101"/>
        <n v="28930"/>
        <n v="18331"/>
        <n v="6509"/>
        <n v="17491"/>
        <n v="5052"/>
        <n v="18648"/>
        <n v="9917"/>
        <n v="26311"/>
        <n v="3171"/>
        <n v="7019"/>
        <n v="4462"/>
        <n v="13234"/>
        <n v="13622"/>
        <n v="20061"/>
        <n v="4222"/>
        <n v="5406"/>
        <n v="7763"/>
        <n v="21938"/>
        <n v="26551"/>
        <n v="11588"/>
        <n v="1308"/>
        <n v="9670"/>
        <n v="27539"/>
        <n v="17609"/>
        <n v="11193"/>
        <n v="28438"/>
        <n v="8201"/>
        <n v="18100"/>
        <n v="20935"/>
        <n v="19081"/>
        <n v="14691"/>
        <n v="19690"/>
        <n v="25854"/>
        <n v="17856"/>
        <n v="27886"/>
        <n v="22518"/>
        <n v="14204"/>
        <n v="24367"/>
        <n v="2623"/>
        <n v="25674"/>
        <n v="12033"/>
        <n v="17108"/>
        <n v="14948"/>
        <n v="15086"/>
        <n v="25916"/>
        <n v="2314"/>
        <n v="13501"/>
        <n v="17990"/>
        <n v="17008"/>
        <n v="20130"/>
        <n v="13880"/>
        <n v="15906"/>
        <n v="3431"/>
        <n v="14067"/>
        <n v="14538"/>
        <n v="12817"/>
        <n v="3471"/>
        <n v="2517"/>
        <n v="24299"/>
        <n v="2915"/>
        <n v="29666"/>
        <n v="19980"/>
        <n v="2109"/>
        <n v="1217"/>
        <n v="20445"/>
        <n v="26092"/>
        <n v="28641"/>
        <n v="13162"/>
        <n v="7282"/>
        <n v="27036"/>
        <n v="1548"/>
      </sharedItems>
    </cacheField>
    <cacheField name="Total_Bill" numFmtId="0">
      <sharedItems containsSemiMixedTypes="0" containsString="0" containsNumber="1" containsInteger="1" minValue="8287" maxValue="249548" count="500">
        <n v="165005"/>
        <n v="85154"/>
        <n v="147379"/>
        <n v="231279"/>
        <n v="245281"/>
        <n v="116297"/>
        <n v="214946"/>
        <n v="46346"/>
        <n v="120138"/>
        <n v="58772"/>
        <n v="211156"/>
        <n v="48149"/>
        <n v="94700"/>
        <n v="166598"/>
        <n v="104758"/>
        <n v="224784"/>
        <n v="136447"/>
        <n v="207549"/>
        <n v="13695"/>
        <n v="47169"/>
        <n v="55947"/>
        <n v="186296"/>
        <n v="53865"/>
        <n v="164625"/>
        <n v="112501"/>
        <n v="68410"/>
        <n v="111754"/>
        <n v="98895"/>
        <n v="163888"/>
        <n v="194098"/>
        <n v="58705"/>
        <n v="200994"/>
        <n v="123700"/>
        <n v="81914"/>
        <n v="9881"/>
        <n v="178639"/>
        <n v="55365"/>
        <n v="87211"/>
        <n v="209194"/>
        <n v="164078"/>
        <n v="49198"/>
        <n v="161903"/>
        <n v="108649"/>
        <n v="155531"/>
        <n v="171515"/>
        <n v="181388"/>
        <n v="235203"/>
        <n v="203558"/>
        <n v="144949"/>
        <n v="47553"/>
        <n v="143994"/>
        <n v="130778"/>
        <n v="125018"/>
        <n v="143758"/>
        <n v="40766"/>
        <n v="219015"/>
        <n v="40006"/>
        <n v="39422"/>
        <n v="124590"/>
        <n v="20205"/>
        <n v="225662"/>
        <n v="162599"/>
        <n v="157515"/>
        <n v="155596"/>
        <n v="124477"/>
        <n v="36202"/>
        <n v="204624"/>
        <n v="185214"/>
        <n v="69692"/>
        <n v="221456"/>
        <n v="28855"/>
        <n v="222819"/>
        <n v="199444"/>
        <n v="33095"/>
        <n v="177796"/>
        <n v="57241"/>
        <n v="111119"/>
        <n v="60003"/>
        <n v="207451"/>
        <n v="102837"/>
        <n v="231068"/>
        <n v="236526"/>
        <n v="102283"/>
        <n v="155044"/>
        <n v="131805"/>
        <n v="101846"/>
        <n v="30927"/>
        <n v="128589"/>
        <n v="123657"/>
        <n v="74630"/>
        <n v="112428"/>
        <n v="130035"/>
        <n v="191419"/>
        <n v="238780"/>
        <n v="134244"/>
        <n v="227932"/>
        <n v="225282"/>
        <n v="77518"/>
        <n v="184355"/>
        <n v="89326"/>
        <n v="151277"/>
        <n v="128243"/>
        <n v="228946"/>
        <n v="20748"/>
        <n v="160169"/>
        <n v="142164"/>
        <n v="61311"/>
        <n v="30692"/>
        <n v="132954"/>
        <n v="162934"/>
        <n v="138035"/>
        <n v="229468"/>
        <n v="87507"/>
        <n v="88152"/>
        <n v="209541"/>
        <n v="12926"/>
        <n v="230371"/>
        <n v="11969"/>
        <n v="43733"/>
        <n v="77855"/>
        <n v="49743"/>
        <n v="138193"/>
        <n v="178948"/>
        <n v="115445"/>
        <n v="28323"/>
        <n v="24428"/>
        <n v="42578"/>
        <n v="94486"/>
        <n v="247649"/>
        <n v="72140"/>
        <n v="115325"/>
        <n v="91829"/>
        <n v="14364"/>
        <n v="136867"/>
        <n v="174421"/>
        <n v="139763"/>
        <n v="103598"/>
        <n v="205539"/>
        <n v="184968"/>
        <n v="65062"/>
        <n v="236338"/>
        <n v="218834"/>
        <n v="152933"/>
        <n v="235909"/>
        <n v="96302"/>
        <n v="240782"/>
        <n v="71928"/>
        <n v="245715"/>
        <n v="222303"/>
        <n v="49347"/>
        <n v="11121"/>
        <n v="91793"/>
        <n v="36164"/>
        <n v="33491"/>
        <n v="67222"/>
        <n v="162237"/>
        <n v="11748"/>
        <n v="237653"/>
        <n v="34553"/>
        <n v="124547"/>
        <n v="68380"/>
        <n v="52331"/>
        <n v="235105"/>
        <n v="235916"/>
        <n v="128617"/>
        <n v="47560"/>
        <n v="61865"/>
        <n v="185758"/>
        <n v="83910"/>
        <n v="143747"/>
        <n v="205778"/>
        <n v="246057"/>
        <n v="248093"/>
        <n v="85986"/>
        <n v="215288"/>
        <n v="18068"/>
        <n v="62460"/>
        <n v="108766"/>
        <n v="54418"/>
        <n v="34206"/>
        <n v="136180"/>
        <n v="8287"/>
        <n v="30337"/>
        <n v="159738"/>
        <n v="140233"/>
        <n v="108667"/>
        <n v="98071"/>
        <n v="106064"/>
        <n v="177823"/>
        <n v="221135"/>
        <n v="114511"/>
        <n v="228461"/>
        <n v="153830"/>
        <n v="204852"/>
        <n v="11178"/>
        <n v="39831"/>
        <n v="141248"/>
        <n v="111306"/>
        <n v="172726"/>
        <n v="165699"/>
        <n v="191622"/>
        <n v="120025"/>
        <n v="183982"/>
        <n v="98417"/>
        <n v="197323"/>
        <n v="174494"/>
        <n v="19984"/>
        <n v="97312"/>
        <n v="200458"/>
        <n v="91291"/>
        <n v="15135"/>
        <n v="8320"/>
        <n v="242030"/>
        <n v="233243"/>
        <n v="160756"/>
        <n v="194985"/>
        <n v="96774"/>
        <n v="160961"/>
        <n v="234921"/>
        <n v="106071"/>
        <n v="187971"/>
        <n v="149842"/>
        <n v="178393"/>
        <n v="225034"/>
        <n v="117863"/>
        <n v="49777"/>
        <n v="54250"/>
        <n v="81034"/>
        <n v="112940"/>
        <n v="48130"/>
        <n v="221003"/>
        <n v="188418"/>
        <n v="141609"/>
        <n v="223834"/>
        <n v="23216"/>
        <n v="92149"/>
        <n v="11009"/>
        <n v="97904"/>
        <n v="168399"/>
        <n v="153281"/>
        <n v="187515"/>
        <n v="23029"/>
        <n v="206685"/>
        <n v="218515"/>
        <n v="196069"/>
        <n v="110171"/>
        <n v="122456"/>
        <n v="70559"/>
        <n v="72892"/>
        <n v="78409"/>
        <n v="147707"/>
        <n v="41065"/>
        <n v="128544"/>
        <n v="115340"/>
        <n v="41783"/>
        <n v="42152"/>
        <n v="66741"/>
        <n v="115049"/>
        <n v="190574"/>
        <n v="37092"/>
        <n v="156725"/>
        <n v="237071"/>
        <n v="238636"/>
        <n v="179541"/>
        <n v="94483"/>
        <n v="129585"/>
        <n v="67754"/>
        <n v="169050"/>
        <n v="95592"/>
        <n v="102543"/>
        <n v="51169"/>
        <n v="187359"/>
        <n v="62745"/>
        <n v="118168"/>
        <n v="121985"/>
        <n v="13543"/>
        <n v="195464"/>
        <n v="29067"/>
        <n v="59033"/>
        <n v="53256"/>
        <n v="229705"/>
        <n v="247455"/>
        <n v="248120"/>
        <n v="208417"/>
        <n v="161263"/>
        <n v="94803"/>
        <n v="211814"/>
        <n v="126843"/>
        <n v="225665"/>
        <n v="36992"/>
        <n v="220603"/>
        <n v="56803"/>
        <n v="117975"/>
        <n v="202549"/>
        <n v="152282"/>
        <n v="222401"/>
        <n v="34270"/>
        <n v="201080"/>
        <n v="144269"/>
        <n v="15452"/>
        <n v="49486"/>
        <n v="22859"/>
        <n v="166308"/>
        <n v="170971"/>
        <n v="40083"/>
        <n v="75708"/>
        <n v="119462"/>
        <n v="155735"/>
        <n v="101076"/>
        <n v="27053"/>
        <n v="150157"/>
        <n v="169636"/>
        <n v="97745"/>
        <n v="198167"/>
        <n v="77517"/>
        <n v="160225"/>
        <n v="144319"/>
        <n v="149625"/>
        <n v="159883"/>
        <n v="234453"/>
        <n v="145207"/>
        <n v="144645"/>
        <n v="87267"/>
        <n v="146261"/>
        <n v="88077"/>
        <n v="182718"/>
        <n v="84623"/>
        <n v="139004"/>
        <n v="61687"/>
        <n v="76312"/>
        <n v="115615"/>
        <n v="138976"/>
        <n v="35564"/>
        <n v="36835"/>
        <n v="200659"/>
        <n v="15697"/>
        <n v="88165"/>
        <n v="212994"/>
        <n v="156118"/>
        <n v="65823"/>
        <n v="212652"/>
        <n v="192442"/>
        <n v="17615"/>
        <n v="144132"/>
        <n v="138499"/>
        <n v="84436"/>
        <n v="199591"/>
        <n v="128562"/>
        <n v="79117"/>
        <n v="200230"/>
        <n v="42782"/>
        <n v="224781"/>
        <n v="86533"/>
        <n v="248011"/>
        <n v="197327"/>
        <n v="80684"/>
        <n v="195990"/>
        <n v="223356"/>
        <n v="87558"/>
        <n v="224621"/>
        <n v="243295"/>
        <n v="89422"/>
        <n v="164328"/>
        <n v="169077"/>
        <n v="14638"/>
        <n v="45419"/>
        <n v="41377"/>
        <n v="114244"/>
        <n v="182188"/>
        <n v="175706"/>
        <n v="221363"/>
        <n v="31382"/>
        <n v="195135"/>
        <n v="161466"/>
        <n v="75789"/>
        <n v="242318"/>
        <n v="118634"/>
        <n v="139936"/>
        <n v="107572"/>
        <n v="179294"/>
        <n v="152738"/>
        <n v="131664"/>
        <n v="160027"/>
        <n v="118674"/>
        <n v="111533"/>
        <n v="89845"/>
        <n v="77590"/>
        <n v="135775"/>
        <n v="74471"/>
        <n v="249548"/>
        <n v="227386"/>
        <n v="51298"/>
        <n v="202180"/>
        <n v="56924"/>
        <n v="155781"/>
        <n v="17726"/>
        <n v="199896"/>
        <n v="48542"/>
        <n v="159317"/>
        <n v="42753"/>
        <n v="87788"/>
        <n v="29316"/>
        <n v="241979"/>
        <n v="92698"/>
        <n v="23960"/>
        <n v="38791"/>
        <n v="246838"/>
        <n v="33216"/>
        <n v="171539"/>
        <n v="72427"/>
        <n v="120470"/>
        <n v="201119"/>
        <n v="81290"/>
        <n v="55014"/>
        <n v="143150"/>
        <n v="217461"/>
        <n v="58519"/>
        <n v="12042"/>
        <n v="57052"/>
        <n v="22389"/>
        <n v="103961"/>
        <n v="76111"/>
        <n v="113058"/>
        <n v="101715"/>
        <n v="58733"/>
        <n v="42754"/>
        <n v="157696"/>
        <n v="93886"/>
        <n v="165753"/>
        <n v="97524"/>
        <n v="89006"/>
        <n v="32704"/>
        <n v="243344"/>
        <n v="102913"/>
        <n v="102108"/>
        <n v="15493"/>
        <n v="77639"/>
        <n v="239452"/>
        <n v="62383"/>
        <n v="142066"/>
        <n v="208352"/>
        <n v="55234"/>
        <n v="186363"/>
        <n v="136674"/>
        <n v="231940"/>
        <n v="13594"/>
        <n v="244907"/>
        <n v="15371"/>
        <n v="55315"/>
        <n v="222636"/>
        <n v="135251"/>
        <n v="240520"/>
        <n v="87526"/>
        <n v="155698"/>
        <n v="94005"/>
        <n v="245330"/>
        <n v="113573"/>
        <n v="146202"/>
        <n v="145900"/>
        <n v="65514"/>
        <n v="246220"/>
        <n v="243707"/>
        <n v="191736"/>
        <n v="156955"/>
        <n v="182131"/>
        <n v="223150"/>
        <n v="182004"/>
        <n v="200341"/>
        <n v="83986"/>
        <n v="93959"/>
        <n v="10035"/>
        <n v="117767"/>
        <n v="179817"/>
        <n v="25241"/>
        <n v="60975"/>
        <n v="162226"/>
        <n v="164697"/>
        <n v="184022"/>
        <n v="237674"/>
        <n v="64396"/>
        <n v="238299"/>
        <n v="126920"/>
        <n v="152403"/>
        <n v="202999"/>
        <n v="94226"/>
        <n v="92719"/>
        <n v="71014"/>
        <n v="47346"/>
        <n v="78411"/>
        <n v="193550"/>
        <n v="151326"/>
        <n v="194806"/>
        <n v="167693"/>
        <n v="84441"/>
        <n v="54121"/>
        <n v="220490"/>
        <n v="68197"/>
        <n v="92577"/>
        <n v="102634"/>
        <n v="181503"/>
      </sharedItems>
    </cacheField>
    <cacheField name="Payment_Mode" numFmtId="0">
      <sharedItems count="4">
        <s v="Card"/>
        <s v="UPI"/>
        <s v="Cash"/>
        <s v="Insurance"/>
      </sharedItems>
    </cacheField>
    <cacheField name="Insurance_Provider" numFmtId="0">
      <sharedItems count="5">
        <s v="None"/>
        <s v="ICICI Lombard"/>
        <s v="Star Health"/>
        <s v="HDFC Ergo"/>
        <s v="New India Assurance"/>
      </sharedItems>
    </cacheField>
    <cacheField name="Patient_Status" numFmtId="0">
      <sharedItems count="4">
        <s v="Deceased"/>
        <s v="Under Treatment"/>
        <s v="Referred"/>
        <s v="Recovered"/>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5.528993402775" createdVersion="8" refreshedVersion="8" minRefreshableVersion="3" recordCount="500" xr:uid="{417A64D3-6597-41CA-8627-27A2D9528810}">
  <cacheSource type="worksheet">
    <worksheetSource name="Table1"/>
  </cacheSource>
  <cacheFields count="18">
    <cacheField name="Patient_ID" numFmtId="0">
      <sharedItems/>
    </cacheField>
    <cacheField name="Patient_Name" numFmtId="0">
      <sharedItems/>
    </cacheField>
    <cacheField name="Age" numFmtId="0">
      <sharedItems containsSemiMixedTypes="0" containsString="0" containsNumber="1" containsInteger="1" minValue="1" maxValue="89"/>
    </cacheField>
    <cacheField name="Gender" numFmtId="0">
      <sharedItems/>
    </cacheField>
    <cacheField name="Department" numFmtId="0">
      <sharedItems count="6">
        <s v="Orthopedics"/>
        <s v="Gynecology"/>
        <s v="Pediatrics"/>
        <s v="General Medicine"/>
        <s v="Neurology"/>
        <s v="Cardiology"/>
      </sharedItems>
    </cacheField>
    <cacheField name="Doctor_Name" numFmtId="0">
      <sharedItems/>
    </cacheField>
    <cacheField name="Admission_Type" numFmtId="0">
      <sharedItems/>
    </cacheField>
    <cacheField name="Admission_Date" numFmtId="14">
      <sharedItems containsSemiMixedTypes="0" containsNonDate="0" containsDate="1" containsString="0" minDate="2024-01-03T00:00:00" maxDate="2024-12-31T00:00:00"/>
    </cacheField>
    <cacheField name="Discharge_Date" numFmtId="14">
      <sharedItems containsSemiMixedTypes="0" containsNonDate="0" containsDate="1" containsString="0" minDate="2024-01-02T00:00:00" maxDate="2025-01-05T00:00:00"/>
    </cacheField>
    <cacheField name="Room_Type" numFmtId="0">
      <sharedItems/>
    </cacheField>
    <cacheField name="Length_of_Stay_Days" numFmtId="0">
      <sharedItems containsSemiMixedTypes="0" containsString="0" containsNumber="1" containsInteger="1" minValue="1" maxValue="19"/>
    </cacheField>
    <cacheField name="Treatment_Cost" numFmtId="0">
      <sharedItems containsSemiMixedTypes="0" containsString="0" containsNumber="1" containsInteger="1" minValue="5192" maxValue="199028"/>
    </cacheField>
    <cacheField name="Medicine_Cost" numFmtId="0">
      <sharedItems containsSemiMixedTypes="0" containsString="0" containsNumber="1" containsInteger="1" minValue="1203" maxValue="49920"/>
    </cacheField>
    <cacheField name="Lab_Test_Cost" numFmtId="0">
      <sharedItems containsSemiMixedTypes="0" containsString="0" containsNumber="1" containsInteger="1" minValue="691" maxValue="29932"/>
    </cacheField>
    <cacheField name="Total_Bill" numFmtId="0">
      <sharedItems containsSemiMixedTypes="0" containsString="0" containsNumber="1" containsInteger="1" minValue="8287" maxValue="249548"/>
    </cacheField>
    <cacheField name="Payment_Mode" numFmtId="0">
      <sharedItems/>
    </cacheField>
    <cacheField name="Insurance_Provider" numFmtId="0">
      <sharedItems/>
    </cacheField>
    <cacheField name="Patient_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0">
  <r>
    <x v="0"/>
    <x v="0"/>
    <x v="0"/>
    <x v="0"/>
    <x v="0"/>
    <x v="0"/>
    <x v="0"/>
    <x v="0"/>
    <x v="0"/>
    <x v="0"/>
    <x v="0"/>
    <x v="0"/>
    <x v="0"/>
    <x v="0"/>
    <x v="0"/>
    <x v="0"/>
    <x v="0"/>
    <x v="0"/>
  </r>
  <r>
    <x v="1"/>
    <x v="1"/>
    <x v="1"/>
    <x v="0"/>
    <x v="1"/>
    <x v="1"/>
    <x v="0"/>
    <x v="1"/>
    <x v="1"/>
    <x v="1"/>
    <x v="1"/>
    <x v="1"/>
    <x v="1"/>
    <x v="1"/>
    <x v="1"/>
    <x v="0"/>
    <x v="1"/>
    <x v="1"/>
  </r>
  <r>
    <x v="2"/>
    <x v="2"/>
    <x v="2"/>
    <x v="1"/>
    <x v="0"/>
    <x v="2"/>
    <x v="1"/>
    <x v="2"/>
    <x v="2"/>
    <x v="2"/>
    <x v="1"/>
    <x v="2"/>
    <x v="2"/>
    <x v="2"/>
    <x v="2"/>
    <x v="1"/>
    <x v="0"/>
    <x v="2"/>
  </r>
  <r>
    <x v="3"/>
    <x v="3"/>
    <x v="3"/>
    <x v="0"/>
    <x v="2"/>
    <x v="3"/>
    <x v="0"/>
    <x v="3"/>
    <x v="3"/>
    <x v="2"/>
    <x v="2"/>
    <x v="3"/>
    <x v="3"/>
    <x v="3"/>
    <x v="3"/>
    <x v="0"/>
    <x v="2"/>
    <x v="1"/>
  </r>
  <r>
    <x v="4"/>
    <x v="4"/>
    <x v="4"/>
    <x v="1"/>
    <x v="3"/>
    <x v="0"/>
    <x v="0"/>
    <x v="4"/>
    <x v="4"/>
    <x v="1"/>
    <x v="3"/>
    <x v="4"/>
    <x v="4"/>
    <x v="4"/>
    <x v="4"/>
    <x v="2"/>
    <x v="2"/>
    <x v="1"/>
  </r>
  <r>
    <x v="5"/>
    <x v="5"/>
    <x v="5"/>
    <x v="1"/>
    <x v="4"/>
    <x v="0"/>
    <x v="1"/>
    <x v="5"/>
    <x v="5"/>
    <x v="2"/>
    <x v="4"/>
    <x v="5"/>
    <x v="5"/>
    <x v="5"/>
    <x v="5"/>
    <x v="0"/>
    <x v="2"/>
    <x v="1"/>
  </r>
  <r>
    <x v="6"/>
    <x v="6"/>
    <x v="6"/>
    <x v="1"/>
    <x v="4"/>
    <x v="2"/>
    <x v="0"/>
    <x v="6"/>
    <x v="6"/>
    <x v="3"/>
    <x v="5"/>
    <x v="6"/>
    <x v="6"/>
    <x v="6"/>
    <x v="6"/>
    <x v="1"/>
    <x v="3"/>
    <x v="2"/>
  </r>
  <r>
    <x v="7"/>
    <x v="7"/>
    <x v="7"/>
    <x v="0"/>
    <x v="1"/>
    <x v="2"/>
    <x v="0"/>
    <x v="7"/>
    <x v="7"/>
    <x v="0"/>
    <x v="4"/>
    <x v="7"/>
    <x v="7"/>
    <x v="7"/>
    <x v="7"/>
    <x v="2"/>
    <x v="3"/>
    <x v="0"/>
  </r>
  <r>
    <x v="8"/>
    <x v="8"/>
    <x v="7"/>
    <x v="0"/>
    <x v="0"/>
    <x v="1"/>
    <x v="0"/>
    <x v="8"/>
    <x v="8"/>
    <x v="0"/>
    <x v="5"/>
    <x v="8"/>
    <x v="8"/>
    <x v="8"/>
    <x v="8"/>
    <x v="3"/>
    <x v="3"/>
    <x v="1"/>
  </r>
  <r>
    <x v="9"/>
    <x v="9"/>
    <x v="8"/>
    <x v="1"/>
    <x v="0"/>
    <x v="4"/>
    <x v="0"/>
    <x v="9"/>
    <x v="9"/>
    <x v="0"/>
    <x v="6"/>
    <x v="9"/>
    <x v="9"/>
    <x v="9"/>
    <x v="9"/>
    <x v="1"/>
    <x v="0"/>
    <x v="2"/>
  </r>
  <r>
    <x v="10"/>
    <x v="10"/>
    <x v="9"/>
    <x v="1"/>
    <x v="5"/>
    <x v="2"/>
    <x v="1"/>
    <x v="10"/>
    <x v="10"/>
    <x v="3"/>
    <x v="2"/>
    <x v="10"/>
    <x v="10"/>
    <x v="10"/>
    <x v="10"/>
    <x v="1"/>
    <x v="3"/>
    <x v="3"/>
  </r>
  <r>
    <x v="11"/>
    <x v="11"/>
    <x v="10"/>
    <x v="1"/>
    <x v="3"/>
    <x v="2"/>
    <x v="0"/>
    <x v="11"/>
    <x v="11"/>
    <x v="0"/>
    <x v="7"/>
    <x v="11"/>
    <x v="11"/>
    <x v="11"/>
    <x v="11"/>
    <x v="3"/>
    <x v="1"/>
    <x v="2"/>
  </r>
  <r>
    <x v="12"/>
    <x v="12"/>
    <x v="11"/>
    <x v="1"/>
    <x v="2"/>
    <x v="5"/>
    <x v="0"/>
    <x v="12"/>
    <x v="12"/>
    <x v="1"/>
    <x v="3"/>
    <x v="12"/>
    <x v="12"/>
    <x v="12"/>
    <x v="12"/>
    <x v="1"/>
    <x v="2"/>
    <x v="3"/>
  </r>
  <r>
    <x v="13"/>
    <x v="13"/>
    <x v="12"/>
    <x v="0"/>
    <x v="4"/>
    <x v="3"/>
    <x v="1"/>
    <x v="13"/>
    <x v="13"/>
    <x v="2"/>
    <x v="4"/>
    <x v="13"/>
    <x v="13"/>
    <x v="13"/>
    <x v="13"/>
    <x v="0"/>
    <x v="0"/>
    <x v="2"/>
  </r>
  <r>
    <x v="14"/>
    <x v="14"/>
    <x v="13"/>
    <x v="0"/>
    <x v="5"/>
    <x v="5"/>
    <x v="2"/>
    <x v="14"/>
    <x v="14"/>
    <x v="3"/>
    <x v="8"/>
    <x v="14"/>
    <x v="14"/>
    <x v="14"/>
    <x v="14"/>
    <x v="3"/>
    <x v="2"/>
    <x v="0"/>
  </r>
  <r>
    <x v="15"/>
    <x v="15"/>
    <x v="8"/>
    <x v="1"/>
    <x v="5"/>
    <x v="5"/>
    <x v="1"/>
    <x v="15"/>
    <x v="15"/>
    <x v="0"/>
    <x v="5"/>
    <x v="15"/>
    <x v="15"/>
    <x v="15"/>
    <x v="15"/>
    <x v="1"/>
    <x v="3"/>
    <x v="1"/>
  </r>
  <r>
    <x v="16"/>
    <x v="16"/>
    <x v="14"/>
    <x v="1"/>
    <x v="1"/>
    <x v="0"/>
    <x v="2"/>
    <x v="16"/>
    <x v="16"/>
    <x v="1"/>
    <x v="9"/>
    <x v="16"/>
    <x v="16"/>
    <x v="16"/>
    <x v="16"/>
    <x v="3"/>
    <x v="0"/>
    <x v="0"/>
  </r>
  <r>
    <x v="17"/>
    <x v="17"/>
    <x v="15"/>
    <x v="0"/>
    <x v="4"/>
    <x v="4"/>
    <x v="1"/>
    <x v="17"/>
    <x v="17"/>
    <x v="2"/>
    <x v="4"/>
    <x v="17"/>
    <x v="17"/>
    <x v="17"/>
    <x v="17"/>
    <x v="3"/>
    <x v="4"/>
    <x v="2"/>
  </r>
  <r>
    <x v="18"/>
    <x v="18"/>
    <x v="13"/>
    <x v="0"/>
    <x v="1"/>
    <x v="3"/>
    <x v="1"/>
    <x v="18"/>
    <x v="18"/>
    <x v="2"/>
    <x v="9"/>
    <x v="18"/>
    <x v="18"/>
    <x v="18"/>
    <x v="18"/>
    <x v="3"/>
    <x v="1"/>
    <x v="1"/>
  </r>
  <r>
    <x v="19"/>
    <x v="19"/>
    <x v="16"/>
    <x v="1"/>
    <x v="2"/>
    <x v="1"/>
    <x v="0"/>
    <x v="19"/>
    <x v="19"/>
    <x v="3"/>
    <x v="10"/>
    <x v="19"/>
    <x v="19"/>
    <x v="0"/>
    <x v="19"/>
    <x v="2"/>
    <x v="3"/>
    <x v="3"/>
  </r>
  <r>
    <x v="20"/>
    <x v="20"/>
    <x v="17"/>
    <x v="1"/>
    <x v="5"/>
    <x v="1"/>
    <x v="2"/>
    <x v="20"/>
    <x v="20"/>
    <x v="3"/>
    <x v="11"/>
    <x v="20"/>
    <x v="20"/>
    <x v="19"/>
    <x v="20"/>
    <x v="1"/>
    <x v="3"/>
    <x v="2"/>
  </r>
  <r>
    <x v="21"/>
    <x v="21"/>
    <x v="4"/>
    <x v="1"/>
    <x v="5"/>
    <x v="2"/>
    <x v="0"/>
    <x v="21"/>
    <x v="21"/>
    <x v="3"/>
    <x v="8"/>
    <x v="21"/>
    <x v="21"/>
    <x v="20"/>
    <x v="21"/>
    <x v="2"/>
    <x v="1"/>
    <x v="1"/>
  </r>
  <r>
    <x v="22"/>
    <x v="22"/>
    <x v="18"/>
    <x v="0"/>
    <x v="3"/>
    <x v="2"/>
    <x v="2"/>
    <x v="22"/>
    <x v="22"/>
    <x v="1"/>
    <x v="0"/>
    <x v="22"/>
    <x v="22"/>
    <x v="21"/>
    <x v="22"/>
    <x v="1"/>
    <x v="1"/>
    <x v="3"/>
  </r>
  <r>
    <x v="23"/>
    <x v="23"/>
    <x v="19"/>
    <x v="0"/>
    <x v="2"/>
    <x v="1"/>
    <x v="1"/>
    <x v="23"/>
    <x v="23"/>
    <x v="1"/>
    <x v="6"/>
    <x v="23"/>
    <x v="23"/>
    <x v="22"/>
    <x v="23"/>
    <x v="0"/>
    <x v="4"/>
    <x v="3"/>
  </r>
  <r>
    <x v="24"/>
    <x v="24"/>
    <x v="20"/>
    <x v="0"/>
    <x v="5"/>
    <x v="2"/>
    <x v="1"/>
    <x v="24"/>
    <x v="24"/>
    <x v="3"/>
    <x v="0"/>
    <x v="24"/>
    <x v="24"/>
    <x v="23"/>
    <x v="24"/>
    <x v="0"/>
    <x v="3"/>
    <x v="0"/>
  </r>
  <r>
    <x v="25"/>
    <x v="25"/>
    <x v="11"/>
    <x v="1"/>
    <x v="2"/>
    <x v="4"/>
    <x v="2"/>
    <x v="25"/>
    <x v="25"/>
    <x v="0"/>
    <x v="4"/>
    <x v="25"/>
    <x v="25"/>
    <x v="24"/>
    <x v="25"/>
    <x v="0"/>
    <x v="3"/>
    <x v="2"/>
  </r>
  <r>
    <x v="26"/>
    <x v="26"/>
    <x v="21"/>
    <x v="1"/>
    <x v="4"/>
    <x v="5"/>
    <x v="0"/>
    <x v="26"/>
    <x v="26"/>
    <x v="2"/>
    <x v="12"/>
    <x v="26"/>
    <x v="26"/>
    <x v="25"/>
    <x v="26"/>
    <x v="1"/>
    <x v="2"/>
    <x v="3"/>
  </r>
  <r>
    <x v="27"/>
    <x v="27"/>
    <x v="22"/>
    <x v="0"/>
    <x v="0"/>
    <x v="2"/>
    <x v="0"/>
    <x v="27"/>
    <x v="27"/>
    <x v="2"/>
    <x v="0"/>
    <x v="27"/>
    <x v="27"/>
    <x v="26"/>
    <x v="27"/>
    <x v="3"/>
    <x v="0"/>
    <x v="1"/>
  </r>
  <r>
    <x v="28"/>
    <x v="28"/>
    <x v="23"/>
    <x v="0"/>
    <x v="5"/>
    <x v="0"/>
    <x v="0"/>
    <x v="28"/>
    <x v="28"/>
    <x v="1"/>
    <x v="4"/>
    <x v="28"/>
    <x v="28"/>
    <x v="27"/>
    <x v="28"/>
    <x v="3"/>
    <x v="0"/>
    <x v="3"/>
  </r>
  <r>
    <x v="29"/>
    <x v="29"/>
    <x v="24"/>
    <x v="1"/>
    <x v="3"/>
    <x v="2"/>
    <x v="0"/>
    <x v="29"/>
    <x v="29"/>
    <x v="2"/>
    <x v="3"/>
    <x v="29"/>
    <x v="29"/>
    <x v="28"/>
    <x v="29"/>
    <x v="2"/>
    <x v="2"/>
    <x v="3"/>
  </r>
  <r>
    <x v="30"/>
    <x v="30"/>
    <x v="17"/>
    <x v="0"/>
    <x v="4"/>
    <x v="3"/>
    <x v="1"/>
    <x v="30"/>
    <x v="30"/>
    <x v="0"/>
    <x v="11"/>
    <x v="30"/>
    <x v="30"/>
    <x v="29"/>
    <x v="30"/>
    <x v="2"/>
    <x v="0"/>
    <x v="0"/>
  </r>
  <r>
    <x v="31"/>
    <x v="31"/>
    <x v="25"/>
    <x v="0"/>
    <x v="2"/>
    <x v="4"/>
    <x v="1"/>
    <x v="31"/>
    <x v="31"/>
    <x v="2"/>
    <x v="12"/>
    <x v="31"/>
    <x v="31"/>
    <x v="30"/>
    <x v="31"/>
    <x v="0"/>
    <x v="1"/>
    <x v="0"/>
  </r>
  <r>
    <x v="32"/>
    <x v="32"/>
    <x v="1"/>
    <x v="1"/>
    <x v="1"/>
    <x v="3"/>
    <x v="1"/>
    <x v="32"/>
    <x v="32"/>
    <x v="1"/>
    <x v="13"/>
    <x v="32"/>
    <x v="32"/>
    <x v="31"/>
    <x v="32"/>
    <x v="2"/>
    <x v="0"/>
    <x v="1"/>
  </r>
  <r>
    <x v="33"/>
    <x v="33"/>
    <x v="26"/>
    <x v="0"/>
    <x v="4"/>
    <x v="3"/>
    <x v="1"/>
    <x v="33"/>
    <x v="33"/>
    <x v="1"/>
    <x v="8"/>
    <x v="33"/>
    <x v="33"/>
    <x v="32"/>
    <x v="33"/>
    <x v="1"/>
    <x v="0"/>
    <x v="0"/>
  </r>
  <r>
    <x v="34"/>
    <x v="34"/>
    <x v="26"/>
    <x v="1"/>
    <x v="5"/>
    <x v="0"/>
    <x v="1"/>
    <x v="34"/>
    <x v="34"/>
    <x v="0"/>
    <x v="10"/>
    <x v="34"/>
    <x v="34"/>
    <x v="33"/>
    <x v="34"/>
    <x v="1"/>
    <x v="2"/>
    <x v="3"/>
  </r>
  <r>
    <x v="35"/>
    <x v="35"/>
    <x v="27"/>
    <x v="1"/>
    <x v="2"/>
    <x v="4"/>
    <x v="0"/>
    <x v="16"/>
    <x v="27"/>
    <x v="0"/>
    <x v="14"/>
    <x v="35"/>
    <x v="35"/>
    <x v="34"/>
    <x v="35"/>
    <x v="2"/>
    <x v="4"/>
    <x v="3"/>
  </r>
  <r>
    <x v="36"/>
    <x v="36"/>
    <x v="26"/>
    <x v="1"/>
    <x v="0"/>
    <x v="4"/>
    <x v="0"/>
    <x v="3"/>
    <x v="35"/>
    <x v="2"/>
    <x v="10"/>
    <x v="36"/>
    <x v="36"/>
    <x v="35"/>
    <x v="36"/>
    <x v="2"/>
    <x v="0"/>
    <x v="0"/>
  </r>
  <r>
    <x v="37"/>
    <x v="37"/>
    <x v="28"/>
    <x v="1"/>
    <x v="4"/>
    <x v="4"/>
    <x v="0"/>
    <x v="35"/>
    <x v="36"/>
    <x v="2"/>
    <x v="15"/>
    <x v="37"/>
    <x v="37"/>
    <x v="36"/>
    <x v="37"/>
    <x v="2"/>
    <x v="0"/>
    <x v="3"/>
  </r>
  <r>
    <x v="38"/>
    <x v="38"/>
    <x v="29"/>
    <x v="1"/>
    <x v="5"/>
    <x v="4"/>
    <x v="0"/>
    <x v="36"/>
    <x v="37"/>
    <x v="1"/>
    <x v="11"/>
    <x v="38"/>
    <x v="38"/>
    <x v="37"/>
    <x v="38"/>
    <x v="2"/>
    <x v="4"/>
    <x v="3"/>
  </r>
  <r>
    <x v="39"/>
    <x v="39"/>
    <x v="16"/>
    <x v="1"/>
    <x v="3"/>
    <x v="4"/>
    <x v="1"/>
    <x v="37"/>
    <x v="38"/>
    <x v="0"/>
    <x v="9"/>
    <x v="39"/>
    <x v="39"/>
    <x v="38"/>
    <x v="39"/>
    <x v="0"/>
    <x v="2"/>
    <x v="1"/>
  </r>
  <r>
    <x v="40"/>
    <x v="40"/>
    <x v="10"/>
    <x v="1"/>
    <x v="1"/>
    <x v="0"/>
    <x v="1"/>
    <x v="38"/>
    <x v="37"/>
    <x v="0"/>
    <x v="8"/>
    <x v="40"/>
    <x v="40"/>
    <x v="39"/>
    <x v="40"/>
    <x v="0"/>
    <x v="4"/>
    <x v="0"/>
  </r>
  <r>
    <x v="41"/>
    <x v="41"/>
    <x v="28"/>
    <x v="0"/>
    <x v="2"/>
    <x v="2"/>
    <x v="1"/>
    <x v="39"/>
    <x v="39"/>
    <x v="0"/>
    <x v="2"/>
    <x v="41"/>
    <x v="41"/>
    <x v="40"/>
    <x v="41"/>
    <x v="2"/>
    <x v="2"/>
    <x v="3"/>
  </r>
  <r>
    <x v="42"/>
    <x v="42"/>
    <x v="30"/>
    <x v="1"/>
    <x v="4"/>
    <x v="3"/>
    <x v="2"/>
    <x v="40"/>
    <x v="40"/>
    <x v="2"/>
    <x v="2"/>
    <x v="42"/>
    <x v="42"/>
    <x v="41"/>
    <x v="42"/>
    <x v="1"/>
    <x v="1"/>
    <x v="0"/>
  </r>
  <r>
    <x v="43"/>
    <x v="43"/>
    <x v="4"/>
    <x v="1"/>
    <x v="4"/>
    <x v="4"/>
    <x v="0"/>
    <x v="41"/>
    <x v="41"/>
    <x v="0"/>
    <x v="4"/>
    <x v="43"/>
    <x v="43"/>
    <x v="42"/>
    <x v="43"/>
    <x v="0"/>
    <x v="2"/>
    <x v="1"/>
  </r>
  <r>
    <x v="44"/>
    <x v="44"/>
    <x v="31"/>
    <x v="0"/>
    <x v="0"/>
    <x v="2"/>
    <x v="0"/>
    <x v="42"/>
    <x v="24"/>
    <x v="1"/>
    <x v="6"/>
    <x v="44"/>
    <x v="44"/>
    <x v="43"/>
    <x v="44"/>
    <x v="1"/>
    <x v="1"/>
    <x v="0"/>
  </r>
  <r>
    <x v="45"/>
    <x v="45"/>
    <x v="32"/>
    <x v="0"/>
    <x v="0"/>
    <x v="2"/>
    <x v="1"/>
    <x v="43"/>
    <x v="35"/>
    <x v="1"/>
    <x v="15"/>
    <x v="45"/>
    <x v="45"/>
    <x v="44"/>
    <x v="45"/>
    <x v="3"/>
    <x v="1"/>
    <x v="3"/>
  </r>
  <r>
    <x v="46"/>
    <x v="46"/>
    <x v="33"/>
    <x v="0"/>
    <x v="3"/>
    <x v="3"/>
    <x v="0"/>
    <x v="44"/>
    <x v="42"/>
    <x v="2"/>
    <x v="7"/>
    <x v="46"/>
    <x v="46"/>
    <x v="45"/>
    <x v="46"/>
    <x v="1"/>
    <x v="2"/>
    <x v="0"/>
  </r>
  <r>
    <x v="47"/>
    <x v="47"/>
    <x v="34"/>
    <x v="1"/>
    <x v="1"/>
    <x v="0"/>
    <x v="0"/>
    <x v="45"/>
    <x v="43"/>
    <x v="3"/>
    <x v="15"/>
    <x v="47"/>
    <x v="47"/>
    <x v="46"/>
    <x v="47"/>
    <x v="2"/>
    <x v="3"/>
    <x v="3"/>
  </r>
  <r>
    <x v="48"/>
    <x v="48"/>
    <x v="21"/>
    <x v="0"/>
    <x v="3"/>
    <x v="1"/>
    <x v="1"/>
    <x v="46"/>
    <x v="12"/>
    <x v="2"/>
    <x v="0"/>
    <x v="48"/>
    <x v="48"/>
    <x v="47"/>
    <x v="48"/>
    <x v="3"/>
    <x v="2"/>
    <x v="3"/>
  </r>
  <r>
    <x v="49"/>
    <x v="49"/>
    <x v="17"/>
    <x v="1"/>
    <x v="5"/>
    <x v="1"/>
    <x v="2"/>
    <x v="24"/>
    <x v="44"/>
    <x v="3"/>
    <x v="12"/>
    <x v="49"/>
    <x v="49"/>
    <x v="48"/>
    <x v="49"/>
    <x v="0"/>
    <x v="0"/>
    <x v="3"/>
  </r>
  <r>
    <x v="50"/>
    <x v="50"/>
    <x v="35"/>
    <x v="1"/>
    <x v="5"/>
    <x v="2"/>
    <x v="2"/>
    <x v="47"/>
    <x v="45"/>
    <x v="0"/>
    <x v="16"/>
    <x v="50"/>
    <x v="50"/>
    <x v="49"/>
    <x v="50"/>
    <x v="0"/>
    <x v="0"/>
    <x v="1"/>
  </r>
  <r>
    <x v="51"/>
    <x v="51"/>
    <x v="36"/>
    <x v="1"/>
    <x v="3"/>
    <x v="5"/>
    <x v="2"/>
    <x v="48"/>
    <x v="46"/>
    <x v="2"/>
    <x v="8"/>
    <x v="51"/>
    <x v="51"/>
    <x v="50"/>
    <x v="51"/>
    <x v="3"/>
    <x v="3"/>
    <x v="0"/>
  </r>
  <r>
    <x v="52"/>
    <x v="52"/>
    <x v="12"/>
    <x v="1"/>
    <x v="1"/>
    <x v="5"/>
    <x v="1"/>
    <x v="49"/>
    <x v="47"/>
    <x v="1"/>
    <x v="15"/>
    <x v="52"/>
    <x v="52"/>
    <x v="51"/>
    <x v="52"/>
    <x v="1"/>
    <x v="1"/>
    <x v="1"/>
  </r>
  <r>
    <x v="53"/>
    <x v="53"/>
    <x v="13"/>
    <x v="0"/>
    <x v="3"/>
    <x v="3"/>
    <x v="0"/>
    <x v="50"/>
    <x v="48"/>
    <x v="0"/>
    <x v="13"/>
    <x v="53"/>
    <x v="53"/>
    <x v="52"/>
    <x v="53"/>
    <x v="0"/>
    <x v="3"/>
    <x v="0"/>
  </r>
  <r>
    <x v="54"/>
    <x v="54"/>
    <x v="37"/>
    <x v="0"/>
    <x v="1"/>
    <x v="1"/>
    <x v="1"/>
    <x v="51"/>
    <x v="49"/>
    <x v="1"/>
    <x v="0"/>
    <x v="54"/>
    <x v="54"/>
    <x v="53"/>
    <x v="54"/>
    <x v="2"/>
    <x v="0"/>
    <x v="1"/>
  </r>
  <r>
    <x v="55"/>
    <x v="55"/>
    <x v="17"/>
    <x v="1"/>
    <x v="1"/>
    <x v="2"/>
    <x v="1"/>
    <x v="52"/>
    <x v="31"/>
    <x v="0"/>
    <x v="14"/>
    <x v="55"/>
    <x v="55"/>
    <x v="54"/>
    <x v="55"/>
    <x v="3"/>
    <x v="3"/>
    <x v="2"/>
  </r>
  <r>
    <x v="56"/>
    <x v="56"/>
    <x v="38"/>
    <x v="1"/>
    <x v="2"/>
    <x v="0"/>
    <x v="0"/>
    <x v="53"/>
    <x v="50"/>
    <x v="2"/>
    <x v="1"/>
    <x v="56"/>
    <x v="56"/>
    <x v="55"/>
    <x v="56"/>
    <x v="2"/>
    <x v="2"/>
    <x v="3"/>
  </r>
  <r>
    <x v="57"/>
    <x v="57"/>
    <x v="39"/>
    <x v="1"/>
    <x v="1"/>
    <x v="1"/>
    <x v="2"/>
    <x v="54"/>
    <x v="51"/>
    <x v="3"/>
    <x v="6"/>
    <x v="57"/>
    <x v="57"/>
    <x v="56"/>
    <x v="57"/>
    <x v="3"/>
    <x v="3"/>
    <x v="3"/>
  </r>
  <r>
    <x v="58"/>
    <x v="58"/>
    <x v="40"/>
    <x v="0"/>
    <x v="0"/>
    <x v="2"/>
    <x v="2"/>
    <x v="55"/>
    <x v="52"/>
    <x v="0"/>
    <x v="10"/>
    <x v="58"/>
    <x v="58"/>
    <x v="57"/>
    <x v="58"/>
    <x v="0"/>
    <x v="1"/>
    <x v="1"/>
  </r>
  <r>
    <x v="59"/>
    <x v="59"/>
    <x v="27"/>
    <x v="1"/>
    <x v="1"/>
    <x v="2"/>
    <x v="1"/>
    <x v="56"/>
    <x v="53"/>
    <x v="3"/>
    <x v="7"/>
    <x v="59"/>
    <x v="59"/>
    <x v="58"/>
    <x v="59"/>
    <x v="1"/>
    <x v="2"/>
    <x v="2"/>
  </r>
  <r>
    <x v="60"/>
    <x v="60"/>
    <x v="41"/>
    <x v="1"/>
    <x v="1"/>
    <x v="4"/>
    <x v="2"/>
    <x v="57"/>
    <x v="54"/>
    <x v="0"/>
    <x v="13"/>
    <x v="60"/>
    <x v="60"/>
    <x v="59"/>
    <x v="60"/>
    <x v="3"/>
    <x v="4"/>
    <x v="3"/>
  </r>
  <r>
    <x v="61"/>
    <x v="61"/>
    <x v="42"/>
    <x v="0"/>
    <x v="1"/>
    <x v="0"/>
    <x v="1"/>
    <x v="12"/>
    <x v="55"/>
    <x v="1"/>
    <x v="14"/>
    <x v="61"/>
    <x v="61"/>
    <x v="60"/>
    <x v="61"/>
    <x v="3"/>
    <x v="0"/>
    <x v="0"/>
  </r>
  <r>
    <x v="62"/>
    <x v="62"/>
    <x v="43"/>
    <x v="0"/>
    <x v="5"/>
    <x v="4"/>
    <x v="1"/>
    <x v="58"/>
    <x v="56"/>
    <x v="1"/>
    <x v="8"/>
    <x v="62"/>
    <x v="62"/>
    <x v="61"/>
    <x v="62"/>
    <x v="2"/>
    <x v="0"/>
    <x v="1"/>
  </r>
  <r>
    <x v="63"/>
    <x v="63"/>
    <x v="44"/>
    <x v="1"/>
    <x v="0"/>
    <x v="3"/>
    <x v="0"/>
    <x v="59"/>
    <x v="12"/>
    <x v="0"/>
    <x v="10"/>
    <x v="63"/>
    <x v="63"/>
    <x v="62"/>
    <x v="63"/>
    <x v="0"/>
    <x v="3"/>
    <x v="3"/>
  </r>
  <r>
    <x v="64"/>
    <x v="64"/>
    <x v="45"/>
    <x v="0"/>
    <x v="0"/>
    <x v="4"/>
    <x v="0"/>
    <x v="60"/>
    <x v="57"/>
    <x v="3"/>
    <x v="0"/>
    <x v="64"/>
    <x v="64"/>
    <x v="63"/>
    <x v="64"/>
    <x v="2"/>
    <x v="2"/>
    <x v="3"/>
  </r>
  <r>
    <x v="65"/>
    <x v="65"/>
    <x v="34"/>
    <x v="0"/>
    <x v="3"/>
    <x v="4"/>
    <x v="0"/>
    <x v="61"/>
    <x v="58"/>
    <x v="2"/>
    <x v="2"/>
    <x v="65"/>
    <x v="65"/>
    <x v="64"/>
    <x v="65"/>
    <x v="0"/>
    <x v="4"/>
    <x v="1"/>
  </r>
  <r>
    <x v="66"/>
    <x v="66"/>
    <x v="13"/>
    <x v="1"/>
    <x v="2"/>
    <x v="1"/>
    <x v="1"/>
    <x v="62"/>
    <x v="59"/>
    <x v="2"/>
    <x v="6"/>
    <x v="66"/>
    <x v="66"/>
    <x v="65"/>
    <x v="66"/>
    <x v="2"/>
    <x v="2"/>
    <x v="1"/>
  </r>
  <r>
    <x v="67"/>
    <x v="67"/>
    <x v="46"/>
    <x v="0"/>
    <x v="1"/>
    <x v="5"/>
    <x v="0"/>
    <x v="63"/>
    <x v="60"/>
    <x v="1"/>
    <x v="11"/>
    <x v="67"/>
    <x v="67"/>
    <x v="66"/>
    <x v="67"/>
    <x v="3"/>
    <x v="0"/>
    <x v="0"/>
  </r>
  <r>
    <x v="68"/>
    <x v="68"/>
    <x v="47"/>
    <x v="1"/>
    <x v="4"/>
    <x v="2"/>
    <x v="2"/>
    <x v="18"/>
    <x v="61"/>
    <x v="2"/>
    <x v="15"/>
    <x v="68"/>
    <x v="68"/>
    <x v="67"/>
    <x v="68"/>
    <x v="2"/>
    <x v="2"/>
    <x v="0"/>
  </r>
  <r>
    <x v="69"/>
    <x v="69"/>
    <x v="34"/>
    <x v="0"/>
    <x v="2"/>
    <x v="0"/>
    <x v="2"/>
    <x v="64"/>
    <x v="62"/>
    <x v="1"/>
    <x v="15"/>
    <x v="69"/>
    <x v="69"/>
    <x v="68"/>
    <x v="69"/>
    <x v="1"/>
    <x v="4"/>
    <x v="3"/>
  </r>
  <r>
    <x v="70"/>
    <x v="70"/>
    <x v="47"/>
    <x v="1"/>
    <x v="2"/>
    <x v="4"/>
    <x v="1"/>
    <x v="65"/>
    <x v="63"/>
    <x v="2"/>
    <x v="8"/>
    <x v="70"/>
    <x v="70"/>
    <x v="69"/>
    <x v="70"/>
    <x v="0"/>
    <x v="3"/>
    <x v="3"/>
  </r>
  <r>
    <x v="71"/>
    <x v="71"/>
    <x v="48"/>
    <x v="1"/>
    <x v="0"/>
    <x v="0"/>
    <x v="1"/>
    <x v="66"/>
    <x v="64"/>
    <x v="0"/>
    <x v="13"/>
    <x v="71"/>
    <x v="71"/>
    <x v="70"/>
    <x v="71"/>
    <x v="0"/>
    <x v="1"/>
    <x v="1"/>
  </r>
  <r>
    <x v="72"/>
    <x v="72"/>
    <x v="33"/>
    <x v="1"/>
    <x v="2"/>
    <x v="5"/>
    <x v="0"/>
    <x v="67"/>
    <x v="65"/>
    <x v="1"/>
    <x v="1"/>
    <x v="72"/>
    <x v="72"/>
    <x v="71"/>
    <x v="72"/>
    <x v="3"/>
    <x v="2"/>
    <x v="3"/>
  </r>
  <r>
    <x v="73"/>
    <x v="73"/>
    <x v="39"/>
    <x v="0"/>
    <x v="1"/>
    <x v="5"/>
    <x v="1"/>
    <x v="68"/>
    <x v="20"/>
    <x v="1"/>
    <x v="0"/>
    <x v="73"/>
    <x v="73"/>
    <x v="72"/>
    <x v="73"/>
    <x v="0"/>
    <x v="1"/>
    <x v="3"/>
  </r>
  <r>
    <x v="74"/>
    <x v="74"/>
    <x v="49"/>
    <x v="1"/>
    <x v="1"/>
    <x v="4"/>
    <x v="1"/>
    <x v="1"/>
    <x v="66"/>
    <x v="0"/>
    <x v="13"/>
    <x v="74"/>
    <x v="74"/>
    <x v="73"/>
    <x v="74"/>
    <x v="1"/>
    <x v="0"/>
    <x v="1"/>
  </r>
  <r>
    <x v="75"/>
    <x v="75"/>
    <x v="50"/>
    <x v="0"/>
    <x v="5"/>
    <x v="3"/>
    <x v="2"/>
    <x v="15"/>
    <x v="67"/>
    <x v="1"/>
    <x v="16"/>
    <x v="75"/>
    <x v="75"/>
    <x v="74"/>
    <x v="75"/>
    <x v="2"/>
    <x v="3"/>
    <x v="3"/>
  </r>
  <r>
    <x v="76"/>
    <x v="76"/>
    <x v="26"/>
    <x v="1"/>
    <x v="1"/>
    <x v="4"/>
    <x v="2"/>
    <x v="69"/>
    <x v="53"/>
    <x v="2"/>
    <x v="17"/>
    <x v="76"/>
    <x v="76"/>
    <x v="75"/>
    <x v="76"/>
    <x v="3"/>
    <x v="3"/>
    <x v="3"/>
  </r>
  <r>
    <x v="77"/>
    <x v="77"/>
    <x v="35"/>
    <x v="1"/>
    <x v="1"/>
    <x v="1"/>
    <x v="0"/>
    <x v="15"/>
    <x v="68"/>
    <x v="2"/>
    <x v="11"/>
    <x v="77"/>
    <x v="77"/>
    <x v="76"/>
    <x v="77"/>
    <x v="1"/>
    <x v="2"/>
    <x v="2"/>
  </r>
  <r>
    <x v="78"/>
    <x v="78"/>
    <x v="51"/>
    <x v="0"/>
    <x v="0"/>
    <x v="2"/>
    <x v="1"/>
    <x v="70"/>
    <x v="4"/>
    <x v="1"/>
    <x v="18"/>
    <x v="78"/>
    <x v="78"/>
    <x v="77"/>
    <x v="78"/>
    <x v="0"/>
    <x v="3"/>
    <x v="0"/>
  </r>
  <r>
    <x v="79"/>
    <x v="79"/>
    <x v="1"/>
    <x v="1"/>
    <x v="1"/>
    <x v="3"/>
    <x v="1"/>
    <x v="71"/>
    <x v="69"/>
    <x v="2"/>
    <x v="6"/>
    <x v="79"/>
    <x v="79"/>
    <x v="78"/>
    <x v="79"/>
    <x v="0"/>
    <x v="2"/>
    <x v="1"/>
  </r>
  <r>
    <x v="80"/>
    <x v="80"/>
    <x v="2"/>
    <x v="1"/>
    <x v="5"/>
    <x v="4"/>
    <x v="2"/>
    <x v="72"/>
    <x v="70"/>
    <x v="3"/>
    <x v="16"/>
    <x v="80"/>
    <x v="80"/>
    <x v="79"/>
    <x v="80"/>
    <x v="1"/>
    <x v="2"/>
    <x v="2"/>
  </r>
  <r>
    <x v="81"/>
    <x v="81"/>
    <x v="42"/>
    <x v="0"/>
    <x v="4"/>
    <x v="0"/>
    <x v="1"/>
    <x v="73"/>
    <x v="71"/>
    <x v="1"/>
    <x v="4"/>
    <x v="81"/>
    <x v="81"/>
    <x v="80"/>
    <x v="81"/>
    <x v="2"/>
    <x v="1"/>
    <x v="0"/>
  </r>
  <r>
    <x v="82"/>
    <x v="82"/>
    <x v="6"/>
    <x v="1"/>
    <x v="0"/>
    <x v="3"/>
    <x v="2"/>
    <x v="74"/>
    <x v="72"/>
    <x v="0"/>
    <x v="5"/>
    <x v="82"/>
    <x v="82"/>
    <x v="81"/>
    <x v="82"/>
    <x v="2"/>
    <x v="3"/>
    <x v="0"/>
  </r>
  <r>
    <x v="83"/>
    <x v="83"/>
    <x v="26"/>
    <x v="1"/>
    <x v="4"/>
    <x v="3"/>
    <x v="0"/>
    <x v="75"/>
    <x v="73"/>
    <x v="3"/>
    <x v="18"/>
    <x v="83"/>
    <x v="83"/>
    <x v="82"/>
    <x v="83"/>
    <x v="3"/>
    <x v="2"/>
    <x v="0"/>
  </r>
  <r>
    <x v="84"/>
    <x v="84"/>
    <x v="52"/>
    <x v="1"/>
    <x v="0"/>
    <x v="4"/>
    <x v="2"/>
    <x v="76"/>
    <x v="74"/>
    <x v="1"/>
    <x v="8"/>
    <x v="84"/>
    <x v="84"/>
    <x v="83"/>
    <x v="84"/>
    <x v="0"/>
    <x v="1"/>
    <x v="2"/>
  </r>
  <r>
    <x v="85"/>
    <x v="85"/>
    <x v="53"/>
    <x v="1"/>
    <x v="3"/>
    <x v="3"/>
    <x v="1"/>
    <x v="47"/>
    <x v="75"/>
    <x v="0"/>
    <x v="11"/>
    <x v="85"/>
    <x v="85"/>
    <x v="84"/>
    <x v="85"/>
    <x v="1"/>
    <x v="4"/>
    <x v="2"/>
  </r>
  <r>
    <x v="86"/>
    <x v="86"/>
    <x v="25"/>
    <x v="0"/>
    <x v="2"/>
    <x v="0"/>
    <x v="0"/>
    <x v="77"/>
    <x v="55"/>
    <x v="2"/>
    <x v="17"/>
    <x v="86"/>
    <x v="86"/>
    <x v="85"/>
    <x v="86"/>
    <x v="2"/>
    <x v="1"/>
    <x v="0"/>
  </r>
  <r>
    <x v="87"/>
    <x v="87"/>
    <x v="54"/>
    <x v="0"/>
    <x v="3"/>
    <x v="5"/>
    <x v="2"/>
    <x v="78"/>
    <x v="76"/>
    <x v="0"/>
    <x v="11"/>
    <x v="87"/>
    <x v="87"/>
    <x v="86"/>
    <x v="87"/>
    <x v="3"/>
    <x v="1"/>
    <x v="3"/>
  </r>
  <r>
    <x v="88"/>
    <x v="88"/>
    <x v="12"/>
    <x v="1"/>
    <x v="1"/>
    <x v="3"/>
    <x v="2"/>
    <x v="79"/>
    <x v="54"/>
    <x v="3"/>
    <x v="7"/>
    <x v="88"/>
    <x v="88"/>
    <x v="87"/>
    <x v="88"/>
    <x v="0"/>
    <x v="2"/>
    <x v="3"/>
  </r>
  <r>
    <x v="89"/>
    <x v="89"/>
    <x v="9"/>
    <x v="0"/>
    <x v="4"/>
    <x v="5"/>
    <x v="0"/>
    <x v="80"/>
    <x v="77"/>
    <x v="2"/>
    <x v="4"/>
    <x v="89"/>
    <x v="89"/>
    <x v="88"/>
    <x v="89"/>
    <x v="0"/>
    <x v="0"/>
    <x v="2"/>
  </r>
  <r>
    <x v="90"/>
    <x v="90"/>
    <x v="55"/>
    <x v="1"/>
    <x v="1"/>
    <x v="0"/>
    <x v="0"/>
    <x v="81"/>
    <x v="78"/>
    <x v="1"/>
    <x v="13"/>
    <x v="90"/>
    <x v="90"/>
    <x v="89"/>
    <x v="90"/>
    <x v="3"/>
    <x v="0"/>
    <x v="2"/>
  </r>
  <r>
    <x v="91"/>
    <x v="91"/>
    <x v="21"/>
    <x v="0"/>
    <x v="2"/>
    <x v="4"/>
    <x v="2"/>
    <x v="82"/>
    <x v="79"/>
    <x v="2"/>
    <x v="7"/>
    <x v="91"/>
    <x v="91"/>
    <x v="90"/>
    <x v="91"/>
    <x v="3"/>
    <x v="0"/>
    <x v="2"/>
  </r>
  <r>
    <x v="92"/>
    <x v="92"/>
    <x v="17"/>
    <x v="1"/>
    <x v="0"/>
    <x v="2"/>
    <x v="1"/>
    <x v="83"/>
    <x v="80"/>
    <x v="1"/>
    <x v="2"/>
    <x v="92"/>
    <x v="92"/>
    <x v="91"/>
    <x v="92"/>
    <x v="2"/>
    <x v="1"/>
    <x v="0"/>
  </r>
  <r>
    <x v="93"/>
    <x v="93"/>
    <x v="56"/>
    <x v="1"/>
    <x v="2"/>
    <x v="3"/>
    <x v="2"/>
    <x v="84"/>
    <x v="32"/>
    <x v="1"/>
    <x v="9"/>
    <x v="93"/>
    <x v="93"/>
    <x v="92"/>
    <x v="93"/>
    <x v="1"/>
    <x v="2"/>
    <x v="3"/>
  </r>
  <r>
    <x v="94"/>
    <x v="94"/>
    <x v="57"/>
    <x v="1"/>
    <x v="5"/>
    <x v="2"/>
    <x v="0"/>
    <x v="85"/>
    <x v="81"/>
    <x v="0"/>
    <x v="16"/>
    <x v="94"/>
    <x v="94"/>
    <x v="93"/>
    <x v="94"/>
    <x v="0"/>
    <x v="3"/>
    <x v="2"/>
  </r>
  <r>
    <x v="95"/>
    <x v="95"/>
    <x v="1"/>
    <x v="1"/>
    <x v="2"/>
    <x v="0"/>
    <x v="2"/>
    <x v="86"/>
    <x v="81"/>
    <x v="0"/>
    <x v="11"/>
    <x v="95"/>
    <x v="95"/>
    <x v="94"/>
    <x v="95"/>
    <x v="1"/>
    <x v="1"/>
    <x v="2"/>
  </r>
  <r>
    <x v="96"/>
    <x v="96"/>
    <x v="58"/>
    <x v="1"/>
    <x v="5"/>
    <x v="3"/>
    <x v="0"/>
    <x v="87"/>
    <x v="82"/>
    <x v="0"/>
    <x v="11"/>
    <x v="96"/>
    <x v="96"/>
    <x v="95"/>
    <x v="96"/>
    <x v="0"/>
    <x v="1"/>
    <x v="1"/>
  </r>
  <r>
    <x v="97"/>
    <x v="97"/>
    <x v="59"/>
    <x v="1"/>
    <x v="2"/>
    <x v="5"/>
    <x v="0"/>
    <x v="88"/>
    <x v="83"/>
    <x v="3"/>
    <x v="12"/>
    <x v="97"/>
    <x v="97"/>
    <x v="96"/>
    <x v="97"/>
    <x v="0"/>
    <x v="2"/>
    <x v="0"/>
  </r>
  <r>
    <x v="98"/>
    <x v="98"/>
    <x v="21"/>
    <x v="0"/>
    <x v="5"/>
    <x v="1"/>
    <x v="1"/>
    <x v="89"/>
    <x v="84"/>
    <x v="3"/>
    <x v="10"/>
    <x v="98"/>
    <x v="98"/>
    <x v="97"/>
    <x v="98"/>
    <x v="1"/>
    <x v="4"/>
    <x v="1"/>
  </r>
  <r>
    <x v="99"/>
    <x v="99"/>
    <x v="38"/>
    <x v="1"/>
    <x v="4"/>
    <x v="2"/>
    <x v="0"/>
    <x v="90"/>
    <x v="85"/>
    <x v="0"/>
    <x v="14"/>
    <x v="99"/>
    <x v="99"/>
    <x v="98"/>
    <x v="99"/>
    <x v="3"/>
    <x v="1"/>
    <x v="3"/>
  </r>
  <r>
    <x v="100"/>
    <x v="100"/>
    <x v="36"/>
    <x v="0"/>
    <x v="1"/>
    <x v="3"/>
    <x v="0"/>
    <x v="34"/>
    <x v="78"/>
    <x v="3"/>
    <x v="2"/>
    <x v="100"/>
    <x v="100"/>
    <x v="99"/>
    <x v="100"/>
    <x v="2"/>
    <x v="4"/>
    <x v="1"/>
  </r>
  <r>
    <x v="101"/>
    <x v="101"/>
    <x v="8"/>
    <x v="1"/>
    <x v="1"/>
    <x v="2"/>
    <x v="1"/>
    <x v="91"/>
    <x v="86"/>
    <x v="2"/>
    <x v="7"/>
    <x v="101"/>
    <x v="101"/>
    <x v="100"/>
    <x v="101"/>
    <x v="0"/>
    <x v="4"/>
    <x v="1"/>
  </r>
  <r>
    <x v="102"/>
    <x v="102"/>
    <x v="60"/>
    <x v="0"/>
    <x v="3"/>
    <x v="3"/>
    <x v="0"/>
    <x v="72"/>
    <x v="87"/>
    <x v="2"/>
    <x v="7"/>
    <x v="102"/>
    <x v="102"/>
    <x v="101"/>
    <x v="102"/>
    <x v="3"/>
    <x v="0"/>
    <x v="1"/>
  </r>
  <r>
    <x v="103"/>
    <x v="103"/>
    <x v="40"/>
    <x v="0"/>
    <x v="1"/>
    <x v="4"/>
    <x v="1"/>
    <x v="86"/>
    <x v="88"/>
    <x v="3"/>
    <x v="7"/>
    <x v="103"/>
    <x v="103"/>
    <x v="102"/>
    <x v="103"/>
    <x v="0"/>
    <x v="2"/>
    <x v="0"/>
  </r>
  <r>
    <x v="104"/>
    <x v="104"/>
    <x v="8"/>
    <x v="0"/>
    <x v="0"/>
    <x v="5"/>
    <x v="1"/>
    <x v="92"/>
    <x v="89"/>
    <x v="3"/>
    <x v="9"/>
    <x v="104"/>
    <x v="104"/>
    <x v="103"/>
    <x v="104"/>
    <x v="2"/>
    <x v="4"/>
    <x v="3"/>
  </r>
  <r>
    <x v="105"/>
    <x v="105"/>
    <x v="48"/>
    <x v="1"/>
    <x v="2"/>
    <x v="2"/>
    <x v="0"/>
    <x v="83"/>
    <x v="88"/>
    <x v="2"/>
    <x v="11"/>
    <x v="105"/>
    <x v="105"/>
    <x v="104"/>
    <x v="105"/>
    <x v="0"/>
    <x v="2"/>
    <x v="1"/>
  </r>
  <r>
    <x v="106"/>
    <x v="106"/>
    <x v="61"/>
    <x v="1"/>
    <x v="3"/>
    <x v="1"/>
    <x v="0"/>
    <x v="93"/>
    <x v="90"/>
    <x v="1"/>
    <x v="3"/>
    <x v="106"/>
    <x v="106"/>
    <x v="105"/>
    <x v="106"/>
    <x v="2"/>
    <x v="0"/>
    <x v="0"/>
  </r>
  <r>
    <x v="107"/>
    <x v="107"/>
    <x v="43"/>
    <x v="0"/>
    <x v="0"/>
    <x v="1"/>
    <x v="2"/>
    <x v="94"/>
    <x v="91"/>
    <x v="2"/>
    <x v="17"/>
    <x v="107"/>
    <x v="107"/>
    <x v="106"/>
    <x v="107"/>
    <x v="2"/>
    <x v="2"/>
    <x v="3"/>
  </r>
  <r>
    <x v="108"/>
    <x v="108"/>
    <x v="40"/>
    <x v="1"/>
    <x v="0"/>
    <x v="0"/>
    <x v="1"/>
    <x v="83"/>
    <x v="74"/>
    <x v="2"/>
    <x v="2"/>
    <x v="108"/>
    <x v="108"/>
    <x v="107"/>
    <x v="108"/>
    <x v="0"/>
    <x v="1"/>
    <x v="2"/>
  </r>
  <r>
    <x v="109"/>
    <x v="109"/>
    <x v="41"/>
    <x v="0"/>
    <x v="5"/>
    <x v="3"/>
    <x v="2"/>
    <x v="95"/>
    <x v="92"/>
    <x v="3"/>
    <x v="4"/>
    <x v="109"/>
    <x v="109"/>
    <x v="108"/>
    <x v="109"/>
    <x v="0"/>
    <x v="4"/>
    <x v="1"/>
  </r>
  <r>
    <x v="110"/>
    <x v="110"/>
    <x v="41"/>
    <x v="1"/>
    <x v="1"/>
    <x v="2"/>
    <x v="0"/>
    <x v="96"/>
    <x v="93"/>
    <x v="2"/>
    <x v="18"/>
    <x v="110"/>
    <x v="110"/>
    <x v="109"/>
    <x v="110"/>
    <x v="2"/>
    <x v="2"/>
    <x v="3"/>
  </r>
  <r>
    <x v="111"/>
    <x v="111"/>
    <x v="18"/>
    <x v="0"/>
    <x v="4"/>
    <x v="0"/>
    <x v="2"/>
    <x v="97"/>
    <x v="94"/>
    <x v="3"/>
    <x v="12"/>
    <x v="111"/>
    <x v="111"/>
    <x v="110"/>
    <x v="111"/>
    <x v="3"/>
    <x v="3"/>
    <x v="1"/>
  </r>
  <r>
    <x v="112"/>
    <x v="112"/>
    <x v="62"/>
    <x v="0"/>
    <x v="4"/>
    <x v="2"/>
    <x v="1"/>
    <x v="18"/>
    <x v="95"/>
    <x v="3"/>
    <x v="8"/>
    <x v="112"/>
    <x v="112"/>
    <x v="111"/>
    <x v="112"/>
    <x v="1"/>
    <x v="2"/>
    <x v="2"/>
  </r>
  <r>
    <x v="113"/>
    <x v="113"/>
    <x v="56"/>
    <x v="1"/>
    <x v="3"/>
    <x v="3"/>
    <x v="2"/>
    <x v="38"/>
    <x v="29"/>
    <x v="0"/>
    <x v="8"/>
    <x v="113"/>
    <x v="113"/>
    <x v="112"/>
    <x v="113"/>
    <x v="2"/>
    <x v="4"/>
    <x v="3"/>
  </r>
  <r>
    <x v="114"/>
    <x v="114"/>
    <x v="63"/>
    <x v="0"/>
    <x v="4"/>
    <x v="1"/>
    <x v="1"/>
    <x v="98"/>
    <x v="96"/>
    <x v="2"/>
    <x v="3"/>
    <x v="114"/>
    <x v="114"/>
    <x v="113"/>
    <x v="114"/>
    <x v="0"/>
    <x v="0"/>
    <x v="0"/>
  </r>
  <r>
    <x v="115"/>
    <x v="115"/>
    <x v="30"/>
    <x v="1"/>
    <x v="2"/>
    <x v="4"/>
    <x v="0"/>
    <x v="99"/>
    <x v="91"/>
    <x v="1"/>
    <x v="14"/>
    <x v="115"/>
    <x v="106"/>
    <x v="114"/>
    <x v="115"/>
    <x v="0"/>
    <x v="0"/>
    <x v="3"/>
  </r>
  <r>
    <x v="116"/>
    <x v="116"/>
    <x v="31"/>
    <x v="0"/>
    <x v="4"/>
    <x v="1"/>
    <x v="0"/>
    <x v="100"/>
    <x v="88"/>
    <x v="0"/>
    <x v="2"/>
    <x v="116"/>
    <x v="115"/>
    <x v="115"/>
    <x v="116"/>
    <x v="3"/>
    <x v="4"/>
    <x v="0"/>
  </r>
  <r>
    <x v="117"/>
    <x v="117"/>
    <x v="2"/>
    <x v="0"/>
    <x v="3"/>
    <x v="0"/>
    <x v="1"/>
    <x v="93"/>
    <x v="97"/>
    <x v="3"/>
    <x v="10"/>
    <x v="117"/>
    <x v="116"/>
    <x v="116"/>
    <x v="117"/>
    <x v="1"/>
    <x v="1"/>
    <x v="3"/>
  </r>
  <r>
    <x v="118"/>
    <x v="118"/>
    <x v="64"/>
    <x v="1"/>
    <x v="4"/>
    <x v="5"/>
    <x v="0"/>
    <x v="101"/>
    <x v="98"/>
    <x v="3"/>
    <x v="18"/>
    <x v="118"/>
    <x v="117"/>
    <x v="117"/>
    <x v="118"/>
    <x v="2"/>
    <x v="1"/>
    <x v="0"/>
  </r>
  <r>
    <x v="119"/>
    <x v="119"/>
    <x v="49"/>
    <x v="1"/>
    <x v="2"/>
    <x v="4"/>
    <x v="0"/>
    <x v="102"/>
    <x v="99"/>
    <x v="1"/>
    <x v="7"/>
    <x v="119"/>
    <x v="118"/>
    <x v="118"/>
    <x v="119"/>
    <x v="2"/>
    <x v="0"/>
    <x v="2"/>
  </r>
  <r>
    <x v="120"/>
    <x v="120"/>
    <x v="18"/>
    <x v="1"/>
    <x v="5"/>
    <x v="0"/>
    <x v="0"/>
    <x v="103"/>
    <x v="100"/>
    <x v="3"/>
    <x v="0"/>
    <x v="120"/>
    <x v="119"/>
    <x v="119"/>
    <x v="120"/>
    <x v="1"/>
    <x v="0"/>
    <x v="2"/>
  </r>
  <r>
    <x v="121"/>
    <x v="121"/>
    <x v="51"/>
    <x v="0"/>
    <x v="3"/>
    <x v="3"/>
    <x v="0"/>
    <x v="104"/>
    <x v="78"/>
    <x v="2"/>
    <x v="1"/>
    <x v="121"/>
    <x v="120"/>
    <x v="120"/>
    <x v="121"/>
    <x v="2"/>
    <x v="4"/>
    <x v="2"/>
  </r>
  <r>
    <x v="122"/>
    <x v="122"/>
    <x v="65"/>
    <x v="1"/>
    <x v="5"/>
    <x v="4"/>
    <x v="1"/>
    <x v="61"/>
    <x v="101"/>
    <x v="0"/>
    <x v="8"/>
    <x v="122"/>
    <x v="121"/>
    <x v="121"/>
    <x v="122"/>
    <x v="1"/>
    <x v="1"/>
    <x v="3"/>
  </r>
  <r>
    <x v="123"/>
    <x v="123"/>
    <x v="26"/>
    <x v="0"/>
    <x v="5"/>
    <x v="0"/>
    <x v="2"/>
    <x v="105"/>
    <x v="102"/>
    <x v="3"/>
    <x v="6"/>
    <x v="123"/>
    <x v="122"/>
    <x v="122"/>
    <x v="123"/>
    <x v="0"/>
    <x v="0"/>
    <x v="2"/>
  </r>
  <r>
    <x v="124"/>
    <x v="124"/>
    <x v="8"/>
    <x v="0"/>
    <x v="5"/>
    <x v="3"/>
    <x v="2"/>
    <x v="106"/>
    <x v="103"/>
    <x v="3"/>
    <x v="1"/>
    <x v="124"/>
    <x v="123"/>
    <x v="123"/>
    <x v="124"/>
    <x v="1"/>
    <x v="1"/>
    <x v="1"/>
  </r>
  <r>
    <x v="125"/>
    <x v="125"/>
    <x v="66"/>
    <x v="1"/>
    <x v="0"/>
    <x v="1"/>
    <x v="0"/>
    <x v="107"/>
    <x v="104"/>
    <x v="1"/>
    <x v="5"/>
    <x v="125"/>
    <x v="124"/>
    <x v="124"/>
    <x v="125"/>
    <x v="2"/>
    <x v="0"/>
    <x v="2"/>
  </r>
  <r>
    <x v="126"/>
    <x v="126"/>
    <x v="39"/>
    <x v="1"/>
    <x v="1"/>
    <x v="5"/>
    <x v="2"/>
    <x v="108"/>
    <x v="105"/>
    <x v="2"/>
    <x v="7"/>
    <x v="126"/>
    <x v="125"/>
    <x v="125"/>
    <x v="126"/>
    <x v="1"/>
    <x v="2"/>
    <x v="0"/>
  </r>
  <r>
    <x v="127"/>
    <x v="127"/>
    <x v="67"/>
    <x v="0"/>
    <x v="0"/>
    <x v="3"/>
    <x v="2"/>
    <x v="78"/>
    <x v="106"/>
    <x v="3"/>
    <x v="13"/>
    <x v="127"/>
    <x v="126"/>
    <x v="126"/>
    <x v="127"/>
    <x v="3"/>
    <x v="3"/>
    <x v="0"/>
  </r>
  <r>
    <x v="128"/>
    <x v="128"/>
    <x v="41"/>
    <x v="0"/>
    <x v="1"/>
    <x v="2"/>
    <x v="0"/>
    <x v="109"/>
    <x v="9"/>
    <x v="1"/>
    <x v="12"/>
    <x v="128"/>
    <x v="127"/>
    <x v="127"/>
    <x v="128"/>
    <x v="0"/>
    <x v="2"/>
    <x v="0"/>
  </r>
  <r>
    <x v="129"/>
    <x v="129"/>
    <x v="59"/>
    <x v="1"/>
    <x v="5"/>
    <x v="3"/>
    <x v="0"/>
    <x v="45"/>
    <x v="107"/>
    <x v="3"/>
    <x v="9"/>
    <x v="129"/>
    <x v="128"/>
    <x v="128"/>
    <x v="129"/>
    <x v="0"/>
    <x v="0"/>
    <x v="3"/>
  </r>
  <r>
    <x v="130"/>
    <x v="130"/>
    <x v="27"/>
    <x v="1"/>
    <x v="3"/>
    <x v="3"/>
    <x v="2"/>
    <x v="10"/>
    <x v="108"/>
    <x v="1"/>
    <x v="0"/>
    <x v="130"/>
    <x v="129"/>
    <x v="129"/>
    <x v="130"/>
    <x v="1"/>
    <x v="3"/>
    <x v="1"/>
  </r>
  <r>
    <x v="131"/>
    <x v="131"/>
    <x v="42"/>
    <x v="1"/>
    <x v="1"/>
    <x v="5"/>
    <x v="1"/>
    <x v="30"/>
    <x v="7"/>
    <x v="1"/>
    <x v="2"/>
    <x v="131"/>
    <x v="130"/>
    <x v="130"/>
    <x v="131"/>
    <x v="2"/>
    <x v="3"/>
    <x v="2"/>
  </r>
  <r>
    <x v="132"/>
    <x v="132"/>
    <x v="10"/>
    <x v="1"/>
    <x v="2"/>
    <x v="2"/>
    <x v="0"/>
    <x v="82"/>
    <x v="109"/>
    <x v="2"/>
    <x v="5"/>
    <x v="132"/>
    <x v="131"/>
    <x v="131"/>
    <x v="132"/>
    <x v="3"/>
    <x v="0"/>
    <x v="1"/>
  </r>
  <r>
    <x v="133"/>
    <x v="133"/>
    <x v="60"/>
    <x v="1"/>
    <x v="2"/>
    <x v="0"/>
    <x v="1"/>
    <x v="110"/>
    <x v="110"/>
    <x v="3"/>
    <x v="1"/>
    <x v="133"/>
    <x v="132"/>
    <x v="132"/>
    <x v="133"/>
    <x v="0"/>
    <x v="0"/>
    <x v="1"/>
  </r>
  <r>
    <x v="134"/>
    <x v="134"/>
    <x v="62"/>
    <x v="0"/>
    <x v="4"/>
    <x v="0"/>
    <x v="2"/>
    <x v="78"/>
    <x v="111"/>
    <x v="2"/>
    <x v="18"/>
    <x v="134"/>
    <x v="133"/>
    <x v="133"/>
    <x v="134"/>
    <x v="0"/>
    <x v="1"/>
    <x v="0"/>
  </r>
  <r>
    <x v="135"/>
    <x v="135"/>
    <x v="35"/>
    <x v="0"/>
    <x v="1"/>
    <x v="3"/>
    <x v="0"/>
    <x v="111"/>
    <x v="64"/>
    <x v="1"/>
    <x v="18"/>
    <x v="135"/>
    <x v="134"/>
    <x v="134"/>
    <x v="135"/>
    <x v="2"/>
    <x v="0"/>
    <x v="0"/>
  </r>
  <r>
    <x v="136"/>
    <x v="136"/>
    <x v="68"/>
    <x v="0"/>
    <x v="3"/>
    <x v="2"/>
    <x v="1"/>
    <x v="112"/>
    <x v="112"/>
    <x v="0"/>
    <x v="6"/>
    <x v="136"/>
    <x v="135"/>
    <x v="135"/>
    <x v="136"/>
    <x v="2"/>
    <x v="4"/>
    <x v="0"/>
  </r>
  <r>
    <x v="137"/>
    <x v="137"/>
    <x v="36"/>
    <x v="0"/>
    <x v="0"/>
    <x v="2"/>
    <x v="0"/>
    <x v="85"/>
    <x v="113"/>
    <x v="3"/>
    <x v="12"/>
    <x v="137"/>
    <x v="136"/>
    <x v="136"/>
    <x v="137"/>
    <x v="3"/>
    <x v="0"/>
    <x v="3"/>
  </r>
  <r>
    <x v="138"/>
    <x v="138"/>
    <x v="69"/>
    <x v="1"/>
    <x v="5"/>
    <x v="5"/>
    <x v="2"/>
    <x v="113"/>
    <x v="114"/>
    <x v="0"/>
    <x v="0"/>
    <x v="138"/>
    <x v="137"/>
    <x v="137"/>
    <x v="138"/>
    <x v="1"/>
    <x v="4"/>
    <x v="1"/>
  </r>
  <r>
    <x v="139"/>
    <x v="139"/>
    <x v="1"/>
    <x v="1"/>
    <x v="4"/>
    <x v="1"/>
    <x v="1"/>
    <x v="114"/>
    <x v="62"/>
    <x v="3"/>
    <x v="8"/>
    <x v="139"/>
    <x v="138"/>
    <x v="138"/>
    <x v="139"/>
    <x v="2"/>
    <x v="0"/>
    <x v="1"/>
  </r>
  <r>
    <x v="140"/>
    <x v="140"/>
    <x v="24"/>
    <x v="1"/>
    <x v="2"/>
    <x v="0"/>
    <x v="2"/>
    <x v="115"/>
    <x v="115"/>
    <x v="2"/>
    <x v="10"/>
    <x v="140"/>
    <x v="139"/>
    <x v="139"/>
    <x v="140"/>
    <x v="1"/>
    <x v="1"/>
    <x v="3"/>
  </r>
  <r>
    <x v="141"/>
    <x v="141"/>
    <x v="70"/>
    <x v="0"/>
    <x v="0"/>
    <x v="5"/>
    <x v="2"/>
    <x v="35"/>
    <x v="34"/>
    <x v="2"/>
    <x v="2"/>
    <x v="141"/>
    <x v="140"/>
    <x v="140"/>
    <x v="141"/>
    <x v="3"/>
    <x v="4"/>
    <x v="3"/>
  </r>
  <r>
    <x v="142"/>
    <x v="142"/>
    <x v="28"/>
    <x v="0"/>
    <x v="0"/>
    <x v="4"/>
    <x v="0"/>
    <x v="116"/>
    <x v="116"/>
    <x v="2"/>
    <x v="12"/>
    <x v="142"/>
    <x v="141"/>
    <x v="141"/>
    <x v="142"/>
    <x v="1"/>
    <x v="2"/>
    <x v="3"/>
  </r>
  <r>
    <x v="143"/>
    <x v="143"/>
    <x v="48"/>
    <x v="1"/>
    <x v="5"/>
    <x v="0"/>
    <x v="1"/>
    <x v="117"/>
    <x v="114"/>
    <x v="2"/>
    <x v="14"/>
    <x v="143"/>
    <x v="142"/>
    <x v="142"/>
    <x v="143"/>
    <x v="0"/>
    <x v="4"/>
    <x v="1"/>
  </r>
  <r>
    <x v="144"/>
    <x v="144"/>
    <x v="0"/>
    <x v="1"/>
    <x v="1"/>
    <x v="5"/>
    <x v="2"/>
    <x v="55"/>
    <x v="117"/>
    <x v="2"/>
    <x v="16"/>
    <x v="144"/>
    <x v="143"/>
    <x v="143"/>
    <x v="144"/>
    <x v="1"/>
    <x v="1"/>
    <x v="1"/>
  </r>
  <r>
    <x v="145"/>
    <x v="145"/>
    <x v="34"/>
    <x v="0"/>
    <x v="2"/>
    <x v="0"/>
    <x v="2"/>
    <x v="118"/>
    <x v="118"/>
    <x v="0"/>
    <x v="6"/>
    <x v="145"/>
    <x v="144"/>
    <x v="144"/>
    <x v="145"/>
    <x v="3"/>
    <x v="4"/>
    <x v="0"/>
  </r>
  <r>
    <x v="146"/>
    <x v="146"/>
    <x v="65"/>
    <x v="0"/>
    <x v="3"/>
    <x v="1"/>
    <x v="1"/>
    <x v="119"/>
    <x v="39"/>
    <x v="2"/>
    <x v="0"/>
    <x v="146"/>
    <x v="145"/>
    <x v="145"/>
    <x v="146"/>
    <x v="3"/>
    <x v="0"/>
    <x v="0"/>
  </r>
  <r>
    <x v="147"/>
    <x v="147"/>
    <x v="1"/>
    <x v="1"/>
    <x v="0"/>
    <x v="4"/>
    <x v="2"/>
    <x v="120"/>
    <x v="119"/>
    <x v="1"/>
    <x v="3"/>
    <x v="147"/>
    <x v="146"/>
    <x v="146"/>
    <x v="147"/>
    <x v="3"/>
    <x v="0"/>
    <x v="1"/>
  </r>
  <r>
    <x v="148"/>
    <x v="148"/>
    <x v="71"/>
    <x v="1"/>
    <x v="5"/>
    <x v="1"/>
    <x v="2"/>
    <x v="121"/>
    <x v="120"/>
    <x v="1"/>
    <x v="8"/>
    <x v="148"/>
    <x v="147"/>
    <x v="147"/>
    <x v="148"/>
    <x v="1"/>
    <x v="1"/>
    <x v="0"/>
  </r>
  <r>
    <x v="149"/>
    <x v="149"/>
    <x v="57"/>
    <x v="0"/>
    <x v="3"/>
    <x v="4"/>
    <x v="1"/>
    <x v="122"/>
    <x v="121"/>
    <x v="0"/>
    <x v="1"/>
    <x v="149"/>
    <x v="148"/>
    <x v="148"/>
    <x v="149"/>
    <x v="0"/>
    <x v="3"/>
    <x v="3"/>
  </r>
  <r>
    <x v="150"/>
    <x v="150"/>
    <x v="44"/>
    <x v="1"/>
    <x v="1"/>
    <x v="3"/>
    <x v="1"/>
    <x v="122"/>
    <x v="122"/>
    <x v="3"/>
    <x v="6"/>
    <x v="150"/>
    <x v="149"/>
    <x v="149"/>
    <x v="150"/>
    <x v="2"/>
    <x v="0"/>
    <x v="2"/>
  </r>
  <r>
    <x v="151"/>
    <x v="151"/>
    <x v="72"/>
    <x v="1"/>
    <x v="2"/>
    <x v="5"/>
    <x v="1"/>
    <x v="123"/>
    <x v="123"/>
    <x v="1"/>
    <x v="11"/>
    <x v="151"/>
    <x v="150"/>
    <x v="150"/>
    <x v="151"/>
    <x v="0"/>
    <x v="2"/>
    <x v="0"/>
  </r>
  <r>
    <x v="152"/>
    <x v="152"/>
    <x v="73"/>
    <x v="1"/>
    <x v="1"/>
    <x v="4"/>
    <x v="1"/>
    <x v="124"/>
    <x v="96"/>
    <x v="3"/>
    <x v="9"/>
    <x v="152"/>
    <x v="151"/>
    <x v="151"/>
    <x v="152"/>
    <x v="1"/>
    <x v="1"/>
    <x v="1"/>
  </r>
  <r>
    <x v="153"/>
    <x v="153"/>
    <x v="38"/>
    <x v="0"/>
    <x v="0"/>
    <x v="1"/>
    <x v="0"/>
    <x v="125"/>
    <x v="59"/>
    <x v="0"/>
    <x v="13"/>
    <x v="153"/>
    <x v="152"/>
    <x v="152"/>
    <x v="153"/>
    <x v="1"/>
    <x v="4"/>
    <x v="0"/>
  </r>
  <r>
    <x v="154"/>
    <x v="154"/>
    <x v="23"/>
    <x v="0"/>
    <x v="3"/>
    <x v="0"/>
    <x v="1"/>
    <x v="62"/>
    <x v="124"/>
    <x v="3"/>
    <x v="12"/>
    <x v="154"/>
    <x v="153"/>
    <x v="153"/>
    <x v="154"/>
    <x v="2"/>
    <x v="4"/>
    <x v="0"/>
  </r>
  <r>
    <x v="155"/>
    <x v="155"/>
    <x v="67"/>
    <x v="0"/>
    <x v="3"/>
    <x v="4"/>
    <x v="0"/>
    <x v="126"/>
    <x v="44"/>
    <x v="3"/>
    <x v="17"/>
    <x v="155"/>
    <x v="154"/>
    <x v="154"/>
    <x v="155"/>
    <x v="1"/>
    <x v="2"/>
    <x v="0"/>
  </r>
  <r>
    <x v="156"/>
    <x v="156"/>
    <x v="63"/>
    <x v="0"/>
    <x v="3"/>
    <x v="5"/>
    <x v="0"/>
    <x v="127"/>
    <x v="125"/>
    <x v="3"/>
    <x v="14"/>
    <x v="156"/>
    <x v="155"/>
    <x v="155"/>
    <x v="156"/>
    <x v="3"/>
    <x v="0"/>
    <x v="2"/>
  </r>
  <r>
    <x v="157"/>
    <x v="157"/>
    <x v="74"/>
    <x v="0"/>
    <x v="0"/>
    <x v="4"/>
    <x v="0"/>
    <x v="128"/>
    <x v="126"/>
    <x v="3"/>
    <x v="17"/>
    <x v="157"/>
    <x v="156"/>
    <x v="156"/>
    <x v="157"/>
    <x v="3"/>
    <x v="1"/>
    <x v="3"/>
  </r>
  <r>
    <x v="158"/>
    <x v="158"/>
    <x v="24"/>
    <x v="0"/>
    <x v="0"/>
    <x v="2"/>
    <x v="2"/>
    <x v="127"/>
    <x v="127"/>
    <x v="0"/>
    <x v="8"/>
    <x v="158"/>
    <x v="157"/>
    <x v="157"/>
    <x v="158"/>
    <x v="3"/>
    <x v="2"/>
    <x v="1"/>
  </r>
  <r>
    <x v="159"/>
    <x v="159"/>
    <x v="58"/>
    <x v="0"/>
    <x v="1"/>
    <x v="0"/>
    <x v="0"/>
    <x v="129"/>
    <x v="128"/>
    <x v="1"/>
    <x v="16"/>
    <x v="159"/>
    <x v="158"/>
    <x v="65"/>
    <x v="159"/>
    <x v="3"/>
    <x v="0"/>
    <x v="2"/>
  </r>
  <r>
    <x v="160"/>
    <x v="160"/>
    <x v="26"/>
    <x v="1"/>
    <x v="4"/>
    <x v="5"/>
    <x v="0"/>
    <x v="37"/>
    <x v="100"/>
    <x v="2"/>
    <x v="16"/>
    <x v="160"/>
    <x v="159"/>
    <x v="158"/>
    <x v="160"/>
    <x v="3"/>
    <x v="1"/>
    <x v="1"/>
  </r>
  <r>
    <x v="161"/>
    <x v="161"/>
    <x v="75"/>
    <x v="1"/>
    <x v="1"/>
    <x v="5"/>
    <x v="2"/>
    <x v="112"/>
    <x v="129"/>
    <x v="3"/>
    <x v="10"/>
    <x v="161"/>
    <x v="160"/>
    <x v="159"/>
    <x v="161"/>
    <x v="1"/>
    <x v="4"/>
    <x v="1"/>
  </r>
  <r>
    <x v="162"/>
    <x v="162"/>
    <x v="46"/>
    <x v="1"/>
    <x v="2"/>
    <x v="3"/>
    <x v="2"/>
    <x v="130"/>
    <x v="130"/>
    <x v="1"/>
    <x v="2"/>
    <x v="162"/>
    <x v="161"/>
    <x v="160"/>
    <x v="162"/>
    <x v="2"/>
    <x v="1"/>
    <x v="1"/>
  </r>
  <r>
    <x v="163"/>
    <x v="163"/>
    <x v="63"/>
    <x v="1"/>
    <x v="5"/>
    <x v="1"/>
    <x v="2"/>
    <x v="4"/>
    <x v="55"/>
    <x v="1"/>
    <x v="7"/>
    <x v="163"/>
    <x v="162"/>
    <x v="161"/>
    <x v="163"/>
    <x v="2"/>
    <x v="3"/>
    <x v="2"/>
  </r>
  <r>
    <x v="164"/>
    <x v="164"/>
    <x v="63"/>
    <x v="1"/>
    <x v="3"/>
    <x v="3"/>
    <x v="1"/>
    <x v="131"/>
    <x v="131"/>
    <x v="0"/>
    <x v="17"/>
    <x v="164"/>
    <x v="163"/>
    <x v="162"/>
    <x v="164"/>
    <x v="3"/>
    <x v="1"/>
    <x v="3"/>
  </r>
  <r>
    <x v="165"/>
    <x v="165"/>
    <x v="39"/>
    <x v="1"/>
    <x v="4"/>
    <x v="5"/>
    <x v="2"/>
    <x v="132"/>
    <x v="132"/>
    <x v="1"/>
    <x v="2"/>
    <x v="165"/>
    <x v="164"/>
    <x v="163"/>
    <x v="165"/>
    <x v="1"/>
    <x v="3"/>
    <x v="1"/>
  </r>
  <r>
    <x v="166"/>
    <x v="166"/>
    <x v="37"/>
    <x v="1"/>
    <x v="5"/>
    <x v="0"/>
    <x v="2"/>
    <x v="81"/>
    <x v="133"/>
    <x v="0"/>
    <x v="6"/>
    <x v="166"/>
    <x v="165"/>
    <x v="164"/>
    <x v="166"/>
    <x v="0"/>
    <x v="1"/>
    <x v="3"/>
  </r>
  <r>
    <x v="167"/>
    <x v="167"/>
    <x v="14"/>
    <x v="0"/>
    <x v="4"/>
    <x v="4"/>
    <x v="0"/>
    <x v="73"/>
    <x v="134"/>
    <x v="3"/>
    <x v="15"/>
    <x v="167"/>
    <x v="166"/>
    <x v="165"/>
    <x v="167"/>
    <x v="0"/>
    <x v="3"/>
    <x v="3"/>
  </r>
  <r>
    <x v="168"/>
    <x v="168"/>
    <x v="26"/>
    <x v="0"/>
    <x v="1"/>
    <x v="4"/>
    <x v="2"/>
    <x v="133"/>
    <x v="8"/>
    <x v="3"/>
    <x v="11"/>
    <x v="168"/>
    <x v="167"/>
    <x v="166"/>
    <x v="168"/>
    <x v="1"/>
    <x v="4"/>
    <x v="0"/>
  </r>
  <r>
    <x v="169"/>
    <x v="169"/>
    <x v="7"/>
    <x v="1"/>
    <x v="0"/>
    <x v="0"/>
    <x v="1"/>
    <x v="100"/>
    <x v="135"/>
    <x v="2"/>
    <x v="10"/>
    <x v="169"/>
    <x v="168"/>
    <x v="167"/>
    <x v="169"/>
    <x v="3"/>
    <x v="0"/>
    <x v="2"/>
  </r>
  <r>
    <x v="170"/>
    <x v="170"/>
    <x v="21"/>
    <x v="1"/>
    <x v="3"/>
    <x v="5"/>
    <x v="2"/>
    <x v="74"/>
    <x v="23"/>
    <x v="2"/>
    <x v="3"/>
    <x v="170"/>
    <x v="169"/>
    <x v="168"/>
    <x v="170"/>
    <x v="2"/>
    <x v="3"/>
    <x v="2"/>
  </r>
  <r>
    <x v="171"/>
    <x v="171"/>
    <x v="26"/>
    <x v="0"/>
    <x v="1"/>
    <x v="4"/>
    <x v="1"/>
    <x v="134"/>
    <x v="136"/>
    <x v="2"/>
    <x v="14"/>
    <x v="171"/>
    <x v="170"/>
    <x v="169"/>
    <x v="171"/>
    <x v="1"/>
    <x v="3"/>
    <x v="0"/>
  </r>
  <r>
    <x v="172"/>
    <x v="172"/>
    <x v="60"/>
    <x v="1"/>
    <x v="5"/>
    <x v="4"/>
    <x v="2"/>
    <x v="135"/>
    <x v="137"/>
    <x v="1"/>
    <x v="3"/>
    <x v="172"/>
    <x v="171"/>
    <x v="170"/>
    <x v="172"/>
    <x v="0"/>
    <x v="4"/>
    <x v="0"/>
  </r>
  <r>
    <x v="173"/>
    <x v="173"/>
    <x v="68"/>
    <x v="1"/>
    <x v="5"/>
    <x v="4"/>
    <x v="2"/>
    <x v="136"/>
    <x v="138"/>
    <x v="3"/>
    <x v="7"/>
    <x v="173"/>
    <x v="172"/>
    <x v="171"/>
    <x v="173"/>
    <x v="0"/>
    <x v="3"/>
    <x v="3"/>
  </r>
  <r>
    <x v="174"/>
    <x v="174"/>
    <x v="26"/>
    <x v="0"/>
    <x v="5"/>
    <x v="1"/>
    <x v="2"/>
    <x v="137"/>
    <x v="139"/>
    <x v="0"/>
    <x v="2"/>
    <x v="174"/>
    <x v="173"/>
    <x v="172"/>
    <x v="174"/>
    <x v="0"/>
    <x v="2"/>
    <x v="1"/>
  </r>
  <r>
    <x v="175"/>
    <x v="175"/>
    <x v="70"/>
    <x v="1"/>
    <x v="5"/>
    <x v="1"/>
    <x v="2"/>
    <x v="132"/>
    <x v="140"/>
    <x v="2"/>
    <x v="3"/>
    <x v="175"/>
    <x v="174"/>
    <x v="173"/>
    <x v="175"/>
    <x v="3"/>
    <x v="4"/>
    <x v="2"/>
  </r>
  <r>
    <x v="176"/>
    <x v="176"/>
    <x v="10"/>
    <x v="0"/>
    <x v="5"/>
    <x v="2"/>
    <x v="1"/>
    <x v="138"/>
    <x v="141"/>
    <x v="0"/>
    <x v="18"/>
    <x v="176"/>
    <x v="175"/>
    <x v="174"/>
    <x v="176"/>
    <x v="0"/>
    <x v="2"/>
    <x v="1"/>
  </r>
  <r>
    <x v="177"/>
    <x v="177"/>
    <x v="76"/>
    <x v="1"/>
    <x v="4"/>
    <x v="3"/>
    <x v="1"/>
    <x v="139"/>
    <x v="142"/>
    <x v="0"/>
    <x v="11"/>
    <x v="177"/>
    <x v="176"/>
    <x v="175"/>
    <x v="177"/>
    <x v="1"/>
    <x v="4"/>
    <x v="1"/>
  </r>
  <r>
    <x v="178"/>
    <x v="178"/>
    <x v="2"/>
    <x v="0"/>
    <x v="1"/>
    <x v="0"/>
    <x v="0"/>
    <x v="140"/>
    <x v="143"/>
    <x v="2"/>
    <x v="9"/>
    <x v="178"/>
    <x v="177"/>
    <x v="176"/>
    <x v="178"/>
    <x v="1"/>
    <x v="3"/>
    <x v="0"/>
  </r>
  <r>
    <x v="179"/>
    <x v="179"/>
    <x v="68"/>
    <x v="0"/>
    <x v="3"/>
    <x v="0"/>
    <x v="1"/>
    <x v="95"/>
    <x v="126"/>
    <x v="3"/>
    <x v="9"/>
    <x v="179"/>
    <x v="178"/>
    <x v="177"/>
    <x v="179"/>
    <x v="0"/>
    <x v="2"/>
    <x v="1"/>
  </r>
  <r>
    <x v="180"/>
    <x v="180"/>
    <x v="36"/>
    <x v="0"/>
    <x v="0"/>
    <x v="0"/>
    <x v="2"/>
    <x v="35"/>
    <x v="26"/>
    <x v="2"/>
    <x v="7"/>
    <x v="180"/>
    <x v="179"/>
    <x v="178"/>
    <x v="180"/>
    <x v="1"/>
    <x v="3"/>
    <x v="3"/>
  </r>
  <r>
    <x v="181"/>
    <x v="181"/>
    <x v="26"/>
    <x v="1"/>
    <x v="0"/>
    <x v="2"/>
    <x v="0"/>
    <x v="141"/>
    <x v="134"/>
    <x v="0"/>
    <x v="6"/>
    <x v="181"/>
    <x v="180"/>
    <x v="179"/>
    <x v="181"/>
    <x v="0"/>
    <x v="4"/>
    <x v="0"/>
  </r>
  <r>
    <x v="182"/>
    <x v="182"/>
    <x v="66"/>
    <x v="0"/>
    <x v="1"/>
    <x v="1"/>
    <x v="0"/>
    <x v="142"/>
    <x v="144"/>
    <x v="2"/>
    <x v="8"/>
    <x v="182"/>
    <x v="181"/>
    <x v="180"/>
    <x v="182"/>
    <x v="0"/>
    <x v="3"/>
    <x v="1"/>
  </r>
  <r>
    <x v="183"/>
    <x v="183"/>
    <x v="28"/>
    <x v="1"/>
    <x v="1"/>
    <x v="5"/>
    <x v="0"/>
    <x v="143"/>
    <x v="41"/>
    <x v="0"/>
    <x v="2"/>
    <x v="183"/>
    <x v="182"/>
    <x v="181"/>
    <x v="183"/>
    <x v="2"/>
    <x v="2"/>
    <x v="0"/>
  </r>
  <r>
    <x v="184"/>
    <x v="184"/>
    <x v="39"/>
    <x v="1"/>
    <x v="0"/>
    <x v="5"/>
    <x v="2"/>
    <x v="144"/>
    <x v="145"/>
    <x v="0"/>
    <x v="3"/>
    <x v="184"/>
    <x v="183"/>
    <x v="182"/>
    <x v="184"/>
    <x v="3"/>
    <x v="2"/>
    <x v="3"/>
  </r>
  <r>
    <x v="185"/>
    <x v="185"/>
    <x v="9"/>
    <x v="1"/>
    <x v="0"/>
    <x v="2"/>
    <x v="1"/>
    <x v="145"/>
    <x v="146"/>
    <x v="2"/>
    <x v="11"/>
    <x v="185"/>
    <x v="184"/>
    <x v="183"/>
    <x v="185"/>
    <x v="3"/>
    <x v="3"/>
    <x v="3"/>
  </r>
  <r>
    <x v="186"/>
    <x v="186"/>
    <x v="69"/>
    <x v="1"/>
    <x v="4"/>
    <x v="5"/>
    <x v="2"/>
    <x v="146"/>
    <x v="147"/>
    <x v="1"/>
    <x v="13"/>
    <x v="186"/>
    <x v="185"/>
    <x v="184"/>
    <x v="186"/>
    <x v="2"/>
    <x v="1"/>
    <x v="1"/>
  </r>
  <r>
    <x v="187"/>
    <x v="187"/>
    <x v="23"/>
    <x v="0"/>
    <x v="2"/>
    <x v="0"/>
    <x v="0"/>
    <x v="145"/>
    <x v="148"/>
    <x v="2"/>
    <x v="4"/>
    <x v="187"/>
    <x v="186"/>
    <x v="185"/>
    <x v="187"/>
    <x v="2"/>
    <x v="4"/>
    <x v="0"/>
  </r>
  <r>
    <x v="188"/>
    <x v="188"/>
    <x v="73"/>
    <x v="0"/>
    <x v="3"/>
    <x v="3"/>
    <x v="2"/>
    <x v="147"/>
    <x v="52"/>
    <x v="1"/>
    <x v="10"/>
    <x v="188"/>
    <x v="5"/>
    <x v="186"/>
    <x v="188"/>
    <x v="3"/>
    <x v="4"/>
    <x v="1"/>
  </r>
  <r>
    <x v="189"/>
    <x v="189"/>
    <x v="8"/>
    <x v="1"/>
    <x v="5"/>
    <x v="4"/>
    <x v="2"/>
    <x v="148"/>
    <x v="149"/>
    <x v="0"/>
    <x v="6"/>
    <x v="189"/>
    <x v="187"/>
    <x v="187"/>
    <x v="189"/>
    <x v="0"/>
    <x v="3"/>
    <x v="1"/>
  </r>
  <r>
    <x v="190"/>
    <x v="190"/>
    <x v="0"/>
    <x v="1"/>
    <x v="2"/>
    <x v="1"/>
    <x v="1"/>
    <x v="97"/>
    <x v="37"/>
    <x v="0"/>
    <x v="11"/>
    <x v="190"/>
    <x v="188"/>
    <x v="188"/>
    <x v="190"/>
    <x v="0"/>
    <x v="1"/>
    <x v="0"/>
  </r>
  <r>
    <x v="191"/>
    <x v="191"/>
    <x v="26"/>
    <x v="0"/>
    <x v="1"/>
    <x v="1"/>
    <x v="1"/>
    <x v="105"/>
    <x v="18"/>
    <x v="1"/>
    <x v="0"/>
    <x v="191"/>
    <x v="189"/>
    <x v="189"/>
    <x v="191"/>
    <x v="3"/>
    <x v="2"/>
    <x v="1"/>
  </r>
  <r>
    <x v="192"/>
    <x v="192"/>
    <x v="20"/>
    <x v="1"/>
    <x v="0"/>
    <x v="2"/>
    <x v="0"/>
    <x v="88"/>
    <x v="135"/>
    <x v="0"/>
    <x v="8"/>
    <x v="192"/>
    <x v="190"/>
    <x v="190"/>
    <x v="192"/>
    <x v="0"/>
    <x v="0"/>
    <x v="3"/>
  </r>
  <r>
    <x v="193"/>
    <x v="193"/>
    <x v="0"/>
    <x v="0"/>
    <x v="2"/>
    <x v="1"/>
    <x v="2"/>
    <x v="149"/>
    <x v="150"/>
    <x v="1"/>
    <x v="17"/>
    <x v="193"/>
    <x v="191"/>
    <x v="191"/>
    <x v="193"/>
    <x v="2"/>
    <x v="0"/>
    <x v="0"/>
  </r>
  <r>
    <x v="194"/>
    <x v="194"/>
    <x v="64"/>
    <x v="1"/>
    <x v="3"/>
    <x v="0"/>
    <x v="2"/>
    <x v="131"/>
    <x v="151"/>
    <x v="1"/>
    <x v="1"/>
    <x v="194"/>
    <x v="192"/>
    <x v="192"/>
    <x v="194"/>
    <x v="0"/>
    <x v="3"/>
    <x v="0"/>
  </r>
  <r>
    <x v="195"/>
    <x v="195"/>
    <x v="32"/>
    <x v="1"/>
    <x v="1"/>
    <x v="5"/>
    <x v="1"/>
    <x v="127"/>
    <x v="49"/>
    <x v="0"/>
    <x v="1"/>
    <x v="195"/>
    <x v="193"/>
    <x v="193"/>
    <x v="195"/>
    <x v="0"/>
    <x v="1"/>
    <x v="0"/>
  </r>
  <r>
    <x v="196"/>
    <x v="196"/>
    <x v="13"/>
    <x v="0"/>
    <x v="5"/>
    <x v="0"/>
    <x v="2"/>
    <x v="81"/>
    <x v="150"/>
    <x v="3"/>
    <x v="7"/>
    <x v="196"/>
    <x v="194"/>
    <x v="194"/>
    <x v="196"/>
    <x v="1"/>
    <x v="1"/>
    <x v="0"/>
  </r>
  <r>
    <x v="197"/>
    <x v="197"/>
    <x v="10"/>
    <x v="1"/>
    <x v="5"/>
    <x v="2"/>
    <x v="2"/>
    <x v="137"/>
    <x v="14"/>
    <x v="1"/>
    <x v="15"/>
    <x v="197"/>
    <x v="195"/>
    <x v="195"/>
    <x v="197"/>
    <x v="1"/>
    <x v="4"/>
    <x v="1"/>
  </r>
  <r>
    <x v="198"/>
    <x v="198"/>
    <x v="77"/>
    <x v="0"/>
    <x v="3"/>
    <x v="0"/>
    <x v="2"/>
    <x v="94"/>
    <x v="113"/>
    <x v="2"/>
    <x v="10"/>
    <x v="198"/>
    <x v="196"/>
    <x v="196"/>
    <x v="198"/>
    <x v="1"/>
    <x v="2"/>
    <x v="1"/>
  </r>
  <r>
    <x v="199"/>
    <x v="199"/>
    <x v="43"/>
    <x v="1"/>
    <x v="3"/>
    <x v="5"/>
    <x v="1"/>
    <x v="150"/>
    <x v="152"/>
    <x v="2"/>
    <x v="7"/>
    <x v="199"/>
    <x v="197"/>
    <x v="197"/>
    <x v="199"/>
    <x v="0"/>
    <x v="1"/>
    <x v="3"/>
  </r>
  <r>
    <x v="200"/>
    <x v="200"/>
    <x v="23"/>
    <x v="1"/>
    <x v="0"/>
    <x v="3"/>
    <x v="0"/>
    <x v="57"/>
    <x v="153"/>
    <x v="0"/>
    <x v="3"/>
    <x v="200"/>
    <x v="198"/>
    <x v="198"/>
    <x v="200"/>
    <x v="3"/>
    <x v="0"/>
    <x v="2"/>
  </r>
  <r>
    <x v="201"/>
    <x v="201"/>
    <x v="13"/>
    <x v="1"/>
    <x v="5"/>
    <x v="2"/>
    <x v="0"/>
    <x v="151"/>
    <x v="109"/>
    <x v="3"/>
    <x v="3"/>
    <x v="201"/>
    <x v="199"/>
    <x v="199"/>
    <x v="201"/>
    <x v="2"/>
    <x v="2"/>
    <x v="2"/>
  </r>
  <r>
    <x v="202"/>
    <x v="202"/>
    <x v="13"/>
    <x v="0"/>
    <x v="1"/>
    <x v="3"/>
    <x v="2"/>
    <x v="152"/>
    <x v="154"/>
    <x v="0"/>
    <x v="2"/>
    <x v="202"/>
    <x v="200"/>
    <x v="200"/>
    <x v="202"/>
    <x v="0"/>
    <x v="2"/>
    <x v="3"/>
  </r>
  <r>
    <x v="203"/>
    <x v="203"/>
    <x v="47"/>
    <x v="1"/>
    <x v="2"/>
    <x v="4"/>
    <x v="0"/>
    <x v="153"/>
    <x v="155"/>
    <x v="3"/>
    <x v="6"/>
    <x v="203"/>
    <x v="201"/>
    <x v="201"/>
    <x v="203"/>
    <x v="3"/>
    <x v="3"/>
    <x v="2"/>
  </r>
  <r>
    <x v="204"/>
    <x v="204"/>
    <x v="6"/>
    <x v="1"/>
    <x v="1"/>
    <x v="3"/>
    <x v="1"/>
    <x v="120"/>
    <x v="3"/>
    <x v="1"/>
    <x v="10"/>
    <x v="204"/>
    <x v="202"/>
    <x v="202"/>
    <x v="204"/>
    <x v="0"/>
    <x v="1"/>
    <x v="3"/>
  </r>
  <r>
    <x v="205"/>
    <x v="205"/>
    <x v="60"/>
    <x v="1"/>
    <x v="4"/>
    <x v="4"/>
    <x v="1"/>
    <x v="68"/>
    <x v="156"/>
    <x v="1"/>
    <x v="10"/>
    <x v="205"/>
    <x v="203"/>
    <x v="203"/>
    <x v="205"/>
    <x v="2"/>
    <x v="3"/>
    <x v="1"/>
  </r>
  <r>
    <x v="206"/>
    <x v="206"/>
    <x v="78"/>
    <x v="1"/>
    <x v="4"/>
    <x v="4"/>
    <x v="0"/>
    <x v="154"/>
    <x v="18"/>
    <x v="1"/>
    <x v="14"/>
    <x v="206"/>
    <x v="204"/>
    <x v="204"/>
    <x v="206"/>
    <x v="0"/>
    <x v="1"/>
    <x v="0"/>
  </r>
  <r>
    <x v="207"/>
    <x v="207"/>
    <x v="13"/>
    <x v="0"/>
    <x v="3"/>
    <x v="3"/>
    <x v="0"/>
    <x v="155"/>
    <x v="157"/>
    <x v="1"/>
    <x v="0"/>
    <x v="207"/>
    <x v="205"/>
    <x v="205"/>
    <x v="207"/>
    <x v="2"/>
    <x v="4"/>
    <x v="0"/>
  </r>
  <r>
    <x v="208"/>
    <x v="208"/>
    <x v="12"/>
    <x v="0"/>
    <x v="0"/>
    <x v="2"/>
    <x v="2"/>
    <x v="156"/>
    <x v="158"/>
    <x v="2"/>
    <x v="6"/>
    <x v="208"/>
    <x v="206"/>
    <x v="206"/>
    <x v="208"/>
    <x v="0"/>
    <x v="3"/>
    <x v="1"/>
  </r>
  <r>
    <x v="209"/>
    <x v="209"/>
    <x v="39"/>
    <x v="1"/>
    <x v="4"/>
    <x v="5"/>
    <x v="0"/>
    <x v="128"/>
    <x v="53"/>
    <x v="2"/>
    <x v="12"/>
    <x v="209"/>
    <x v="207"/>
    <x v="207"/>
    <x v="209"/>
    <x v="2"/>
    <x v="3"/>
    <x v="0"/>
  </r>
  <r>
    <x v="210"/>
    <x v="210"/>
    <x v="73"/>
    <x v="0"/>
    <x v="5"/>
    <x v="0"/>
    <x v="2"/>
    <x v="66"/>
    <x v="159"/>
    <x v="0"/>
    <x v="6"/>
    <x v="210"/>
    <x v="208"/>
    <x v="208"/>
    <x v="210"/>
    <x v="0"/>
    <x v="0"/>
    <x v="0"/>
  </r>
  <r>
    <x v="211"/>
    <x v="211"/>
    <x v="76"/>
    <x v="1"/>
    <x v="1"/>
    <x v="0"/>
    <x v="2"/>
    <x v="157"/>
    <x v="160"/>
    <x v="3"/>
    <x v="11"/>
    <x v="211"/>
    <x v="209"/>
    <x v="209"/>
    <x v="211"/>
    <x v="2"/>
    <x v="3"/>
    <x v="2"/>
  </r>
  <r>
    <x v="212"/>
    <x v="212"/>
    <x v="73"/>
    <x v="1"/>
    <x v="1"/>
    <x v="5"/>
    <x v="1"/>
    <x v="66"/>
    <x v="161"/>
    <x v="1"/>
    <x v="5"/>
    <x v="212"/>
    <x v="210"/>
    <x v="210"/>
    <x v="212"/>
    <x v="1"/>
    <x v="1"/>
    <x v="1"/>
  </r>
  <r>
    <x v="213"/>
    <x v="213"/>
    <x v="79"/>
    <x v="1"/>
    <x v="3"/>
    <x v="4"/>
    <x v="1"/>
    <x v="158"/>
    <x v="14"/>
    <x v="1"/>
    <x v="4"/>
    <x v="213"/>
    <x v="211"/>
    <x v="211"/>
    <x v="213"/>
    <x v="0"/>
    <x v="0"/>
    <x v="2"/>
  </r>
  <r>
    <x v="214"/>
    <x v="214"/>
    <x v="29"/>
    <x v="0"/>
    <x v="2"/>
    <x v="4"/>
    <x v="1"/>
    <x v="159"/>
    <x v="162"/>
    <x v="3"/>
    <x v="0"/>
    <x v="214"/>
    <x v="212"/>
    <x v="212"/>
    <x v="214"/>
    <x v="0"/>
    <x v="3"/>
    <x v="2"/>
  </r>
  <r>
    <x v="215"/>
    <x v="215"/>
    <x v="7"/>
    <x v="0"/>
    <x v="3"/>
    <x v="2"/>
    <x v="1"/>
    <x v="160"/>
    <x v="163"/>
    <x v="3"/>
    <x v="4"/>
    <x v="215"/>
    <x v="213"/>
    <x v="213"/>
    <x v="215"/>
    <x v="3"/>
    <x v="3"/>
    <x v="0"/>
  </r>
  <r>
    <x v="216"/>
    <x v="216"/>
    <x v="77"/>
    <x v="0"/>
    <x v="2"/>
    <x v="1"/>
    <x v="0"/>
    <x v="161"/>
    <x v="104"/>
    <x v="0"/>
    <x v="13"/>
    <x v="216"/>
    <x v="214"/>
    <x v="214"/>
    <x v="216"/>
    <x v="3"/>
    <x v="4"/>
    <x v="0"/>
  </r>
  <r>
    <x v="217"/>
    <x v="217"/>
    <x v="80"/>
    <x v="0"/>
    <x v="3"/>
    <x v="3"/>
    <x v="1"/>
    <x v="162"/>
    <x v="164"/>
    <x v="3"/>
    <x v="11"/>
    <x v="217"/>
    <x v="215"/>
    <x v="215"/>
    <x v="217"/>
    <x v="2"/>
    <x v="3"/>
    <x v="1"/>
  </r>
  <r>
    <x v="218"/>
    <x v="218"/>
    <x v="15"/>
    <x v="0"/>
    <x v="3"/>
    <x v="4"/>
    <x v="0"/>
    <x v="163"/>
    <x v="165"/>
    <x v="1"/>
    <x v="10"/>
    <x v="218"/>
    <x v="216"/>
    <x v="216"/>
    <x v="218"/>
    <x v="0"/>
    <x v="2"/>
    <x v="0"/>
  </r>
  <r>
    <x v="219"/>
    <x v="219"/>
    <x v="9"/>
    <x v="0"/>
    <x v="3"/>
    <x v="0"/>
    <x v="1"/>
    <x v="78"/>
    <x v="147"/>
    <x v="1"/>
    <x v="14"/>
    <x v="219"/>
    <x v="217"/>
    <x v="217"/>
    <x v="219"/>
    <x v="2"/>
    <x v="0"/>
    <x v="0"/>
  </r>
  <r>
    <x v="220"/>
    <x v="220"/>
    <x v="81"/>
    <x v="0"/>
    <x v="2"/>
    <x v="2"/>
    <x v="0"/>
    <x v="109"/>
    <x v="166"/>
    <x v="1"/>
    <x v="4"/>
    <x v="220"/>
    <x v="218"/>
    <x v="218"/>
    <x v="220"/>
    <x v="1"/>
    <x v="2"/>
    <x v="1"/>
  </r>
  <r>
    <x v="221"/>
    <x v="221"/>
    <x v="76"/>
    <x v="0"/>
    <x v="2"/>
    <x v="3"/>
    <x v="2"/>
    <x v="164"/>
    <x v="167"/>
    <x v="1"/>
    <x v="12"/>
    <x v="221"/>
    <x v="219"/>
    <x v="219"/>
    <x v="221"/>
    <x v="3"/>
    <x v="0"/>
    <x v="0"/>
  </r>
  <r>
    <x v="222"/>
    <x v="222"/>
    <x v="67"/>
    <x v="0"/>
    <x v="3"/>
    <x v="2"/>
    <x v="0"/>
    <x v="165"/>
    <x v="69"/>
    <x v="1"/>
    <x v="9"/>
    <x v="222"/>
    <x v="220"/>
    <x v="220"/>
    <x v="222"/>
    <x v="2"/>
    <x v="4"/>
    <x v="2"/>
  </r>
  <r>
    <x v="223"/>
    <x v="223"/>
    <x v="61"/>
    <x v="1"/>
    <x v="4"/>
    <x v="3"/>
    <x v="0"/>
    <x v="121"/>
    <x v="168"/>
    <x v="0"/>
    <x v="6"/>
    <x v="223"/>
    <x v="221"/>
    <x v="221"/>
    <x v="223"/>
    <x v="2"/>
    <x v="3"/>
    <x v="1"/>
  </r>
  <r>
    <x v="224"/>
    <x v="224"/>
    <x v="82"/>
    <x v="0"/>
    <x v="0"/>
    <x v="3"/>
    <x v="1"/>
    <x v="166"/>
    <x v="54"/>
    <x v="1"/>
    <x v="5"/>
    <x v="224"/>
    <x v="222"/>
    <x v="222"/>
    <x v="224"/>
    <x v="3"/>
    <x v="3"/>
    <x v="0"/>
  </r>
  <r>
    <x v="225"/>
    <x v="225"/>
    <x v="31"/>
    <x v="0"/>
    <x v="0"/>
    <x v="5"/>
    <x v="0"/>
    <x v="146"/>
    <x v="169"/>
    <x v="0"/>
    <x v="13"/>
    <x v="225"/>
    <x v="223"/>
    <x v="223"/>
    <x v="225"/>
    <x v="0"/>
    <x v="3"/>
    <x v="3"/>
  </r>
  <r>
    <x v="226"/>
    <x v="226"/>
    <x v="23"/>
    <x v="0"/>
    <x v="0"/>
    <x v="4"/>
    <x v="2"/>
    <x v="142"/>
    <x v="64"/>
    <x v="1"/>
    <x v="12"/>
    <x v="226"/>
    <x v="224"/>
    <x v="224"/>
    <x v="226"/>
    <x v="2"/>
    <x v="0"/>
    <x v="1"/>
  </r>
  <r>
    <x v="227"/>
    <x v="227"/>
    <x v="76"/>
    <x v="0"/>
    <x v="2"/>
    <x v="2"/>
    <x v="2"/>
    <x v="154"/>
    <x v="170"/>
    <x v="2"/>
    <x v="12"/>
    <x v="227"/>
    <x v="225"/>
    <x v="225"/>
    <x v="227"/>
    <x v="3"/>
    <x v="3"/>
    <x v="1"/>
  </r>
  <r>
    <x v="228"/>
    <x v="228"/>
    <x v="25"/>
    <x v="0"/>
    <x v="2"/>
    <x v="2"/>
    <x v="1"/>
    <x v="167"/>
    <x v="127"/>
    <x v="2"/>
    <x v="4"/>
    <x v="228"/>
    <x v="226"/>
    <x v="226"/>
    <x v="228"/>
    <x v="0"/>
    <x v="2"/>
    <x v="3"/>
  </r>
  <r>
    <x v="229"/>
    <x v="229"/>
    <x v="10"/>
    <x v="0"/>
    <x v="4"/>
    <x v="5"/>
    <x v="2"/>
    <x v="168"/>
    <x v="171"/>
    <x v="2"/>
    <x v="5"/>
    <x v="229"/>
    <x v="227"/>
    <x v="227"/>
    <x v="229"/>
    <x v="1"/>
    <x v="3"/>
    <x v="0"/>
  </r>
  <r>
    <x v="230"/>
    <x v="230"/>
    <x v="83"/>
    <x v="0"/>
    <x v="0"/>
    <x v="0"/>
    <x v="0"/>
    <x v="169"/>
    <x v="172"/>
    <x v="2"/>
    <x v="1"/>
    <x v="230"/>
    <x v="228"/>
    <x v="228"/>
    <x v="230"/>
    <x v="3"/>
    <x v="4"/>
    <x v="0"/>
  </r>
  <r>
    <x v="231"/>
    <x v="231"/>
    <x v="23"/>
    <x v="0"/>
    <x v="0"/>
    <x v="0"/>
    <x v="2"/>
    <x v="170"/>
    <x v="173"/>
    <x v="0"/>
    <x v="5"/>
    <x v="231"/>
    <x v="229"/>
    <x v="229"/>
    <x v="231"/>
    <x v="2"/>
    <x v="2"/>
    <x v="1"/>
  </r>
  <r>
    <x v="232"/>
    <x v="232"/>
    <x v="44"/>
    <x v="0"/>
    <x v="3"/>
    <x v="4"/>
    <x v="1"/>
    <x v="171"/>
    <x v="174"/>
    <x v="0"/>
    <x v="7"/>
    <x v="232"/>
    <x v="230"/>
    <x v="230"/>
    <x v="232"/>
    <x v="1"/>
    <x v="3"/>
    <x v="1"/>
  </r>
  <r>
    <x v="233"/>
    <x v="233"/>
    <x v="78"/>
    <x v="0"/>
    <x v="2"/>
    <x v="4"/>
    <x v="0"/>
    <x v="5"/>
    <x v="175"/>
    <x v="3"/>
    <x v="18"/>
    <x v="233"/>
    <x v="231"/>
    <x v="231"/>
    <x v="233"/>
    <x v="0"/>
    <x v="3"/>
    <x v="0"/>
  </r>
  <r>
    <x v="234"/>
    <x v="234"/>
    <x v="84"/>
    <x v="0"/>
    <x v="0"/>
    <x v="1"/>
    <x v="1"/>
    <x v="172"/>
    <x v="27"/>
    <x v="1"/>
    <x v="12"/>
    <x v="234"/>
    <x v="232"/>
    <x v="232"/>
    <x v="234"/>
    <x v="0"/>
    <x v="1"/>
    <x v="0"/>
  </r>
  <r>
    <x v="235"/>
    <x v="235"/>
    <x v="78"/>
    <x v="1"/>
    <x v="1"/>
    <x v="5"/>
    <x v="0"/>
    <x v="173"/>
    <x v="27"/>
    <x v="2"/>
    <x v="3"/>
    <x v="235"/>
    <x v="233"/>
    <x v="233"/>
    <x v="235"/>
    <x v="3"/>
    <x v="0"/>
    <x v="2"/>
  </r>
  <r>
    <x v="236"/>
    <x v="236"/>
    <x v="83"/>
    <x v="1"/>
    <x v="4"/>
    <x v="0"/>
    <x v="2"/>
    <x v="95"/>
    <x v="34"/>
    <x v="0"/>
    <x v="8"/>
    <x v="236"/>
    <x v="234"/>
    <x v="234"/>
    <x v="236"/>
    <x v="3"/>
    <x v="2"/>
    <x v="1"/>
  </r>
  <r>
    <x v="237"/>
    <x v="237"/>
    <x v="38"/>
    <x v="0"/>
    <x v="1"/>
    <x v="3"/>
    <x v="1"/>
    <x v="174"/>
    <x v="176"/>
    <x v="1"/>
    <x v="7"/>
    <x v="237"/>
    <x v="235"/>
    <x v="235"/>
    <x v="237"/>
    <x v="3"/>
    <x v="1"/>
    <x v="1"/>
  </r>
  <r>
    <x v="238"/>
    <x v="238"/>
    <x v="0"/>
    <x v="0"/>
    <x v="1"/>
    <x v="2"/>
    <x v="1"/>
    <x v="175"/>
    <x v="177"/>
    <x v="1"/>
    <x v="10"/>
    <x v="238"/>
    <x v="236"/>
    <x v="236"/>
    <x v="238"/>
    <x v="0"/>
    <x v="4"/>
    <x v="3"/>
  </r>
  <r>
    <x v="239"/>
    <x v="239"/>
    <x v="18"/>
    <x v="1"/>
    <x v="4"/>
    <x v="4"/>
    <x v="0"/>
    <x v="97"/>
    <x v="69"/>
    <x v="0"/>
    <x v="8"/>
    <x v="239"/>
    <x v="237"/>
    <x v="237"/>
    <x v="239"/>
    <x v="1"/>
    <x v="0"/>
    <x v="2"/>
  </r>
  <r>
    <x v="240"/>
    <x v="240"/>
    <x v="52"/>
    <x v="0"/>
    <x v="1"/>
    <x v="2"/>
    <x v="1"/>
    <x v="176"/>
    <x v="101"/>
    <x v="2"/>
    <x v="14"/>
    <x v="240"/>
    <x v="238"/>
    <x v="238"/>
    <x v="240"/>
    <x v="0"/>
    <x v="2"/>
    <x v="0"/>
  </r>
  <r>
    <x v="241"/>
    <x v="241"/>
    <x v="32"/>
    <x v="1"/>
    <x v="0"/>
    <x v="2"/>
    <x v="0"/>
    <x v="177"/>
    <x v="178"/>
    <x v="3"/>
    <x v="0"/>
    <x v="241"/>
    <x v="239"/>
    <x v="239"/>
    <x v="241"/>
    <x v="2"/>
    <x v="3"/>
    <x v="2"/>
  </r>
  <r>
    <x v="242"/>
    <x v="242"/>
    <x v="54"/>
    <x v="1"/>
    <x v="2"/>
    <x v="1"/>
    <x v="0"/>
    <x v="62"/>
    <x v="110"/>
    <x v="1"/>
    <x v="16"/>
    <x v="242"/>
    <x v="240"/>
    <x v="240"/>
    <x v="242"/>
    <x v="0"/>
    <x v="2"/>
    <x v="0"/>
  </r>
  <r>
    <x v="243"/>
    <x v="243"/>
    <x v="60"/>
    <x v="1"/>
    <x v="4"/>
    <x v="0"/>
    <x v="0"/>
    <x v="178"/>
    <x v="179"/>
    <x v="3"/>
    <x v="10"/>
    <x v="243"/>
    <x v="241"/>
    <x v="241"/>
    <x v="243"/>
    <x v="2"/>
    <x v="3"/>
    <x v="0"/>
  </r>
  <r>
    <x v="244"/>
    <x v="244"/>
    <x v="61"/>
    <x v="1"/>
    <x v="3"/>
    <x v="4"/>
    <x v="0"/>
    <x v="9"/>
    <x v="59"/>
    <x v="2"/>
    <x v="7"/>
    <x v="244"/>
    <x v="242"/>
    <x v="242"/>
    <x v="244"/>
    <x v="1"/>
    <x v="0"/>
    <x v="2"/>
  </r>
  <r>
    <x v="245"/>
    <x v="245"/>
    <x v="75"/>
    <x v="1"/>
    <x v="1"/>
    <x v="2"/>
    <x v="2"/>
    <x v="173"/>
    <x v="71"/>
    <x v="2"/>
    <x v="4"/>
    <x v="245"/>
    <x v="243"/>
    <x v="243"/>
    <x v="245"/>
    <x v="3"/>
    <x v="3"/>
    <x v="1"/>
  </r>
  <r>
    <x v="246"/>
    <x v="246"/>
    <x v="21"/>
    <x v="0"/>
    <x v="4"/>
    <x v="4"/>
    <x v="0"/>
    <x v="177"/>
    <x v="180"/>
    <x v="3"/>
    <x v="10"/>
    <x v="246"/>
    <x v="244"/>
    <x v="244"/>
    <x v="246"/>
    <x v="3"/>
    <x v="4"/>
    <x v="0"/>
  </r>
  <r>
    <x v="247"/>
    <x v="247"/>
    <x v="45"/>
    <x v="1"/>
    <x v="5"/>
    <x v="3"/>
    <x v="1"/>
    <x v="107"/>
    <x v="38"/>
    <x v="2"/>
    <x v="8"/>
    <x v="247"/>
    <x v="46"/>
    <x v="245"/>
    <x v="247"/>
    <x v="0"/>
    <x v="3"/>
    <x v="2"/>
  </r>
  <r>
    <x v="248"/>
    <x v="248"/>
    <x v="65"/>
    <x v="0"/>
    <x v="5"/>
    <x v="1"/>
    <x v="2"/>
    <x v="179"/>
    <x v="181"/>
    <x v="1"/>
    <x v="12"/>
    <x v="248"/>
    <x v="245"/>
    <x v="246"/>
    <x v="248"/>
    <x v="3"/>
    <x v="4"/>
    <x v="3"/>
  </r>
  <r>
    <x v="249"/>
    <x v="249"/>
    <x v="85"/>
    <x v="0"/>
    <x v="2"/>
    <x v="3"/>
    <x v="1"/>
    <x v="180"/>
    <x v="182"/>
    <x v="3"/>
    <x v="11"/>
    <x v="249"/>
    <x v="246"/>
    <x v="247"/>
    <x v="249"/>
    <x v="1"/>
    <x v="0"/>
    <x v="2"/>
  </r>
  <r>
    <x v="250"/>
    <x v="250"/>
    <x v="24"/>
    <x v="1"/>
    <x v="0"/>
    <x v="4"/>
    <x v="2"/>
    <x v="161"/>
    <x v="183"/>
    <x v="2"/>
    <x v="16"/>
    <x v="250"/>
    <x v="247"/>
    <x v="248"/>
    <x v="250"/>
    <x v="3"/>
    <x v="0"/>
    <x v="3"/>
  </r>
  <r>
    <x v="251"/>
    <x v="251"/>
    <x v="30"/>
    <x v="1"/>
    <x v="2"/>
    <x v="4"/>
    <x v="0"/>
    <x v="136"/>
    <x v="132"/>
    <x v="3"/>
    <x v="2"/>
    <x v="251"/>
    <x v="248"/>
    <x v="249"/>
    <x v="251"/>
    <x v="0"/>
    <x v="2"/>
    <x v="0"/>
  </r>
  <r>
    <x v="252"/>
    <x v="252"/>
    <x v="82"/>
    <x v="0"/>
    <x v="2"/>
    <x v="0"/>
    <x v="2"/>
    <x v="181"/>
    <x v="50"/>
    <x v="1"/>
    <x v="18"/>
    <x v="252"/>
    <x v="249"/>
    <x v="250"/>
    <x v="252"/>
    <x v="1"/>
    <x v="4"/>
    <x v="2"/>
  </r>
  <r>
    <x v="253"/>
    <x v="253"/>
    <x v="17"/>
    <x v="1"/>
    <x v="2"/>
    <x v="2"/>
    <x v="2"/>
    <x v="167"/>
    <x v="67"/>
    <x v="2"/>
    <x v="16"/>
    <x v="253"/>
    <x v="250"/>
    <x v="251"/>
    <x v="253"/>
    <x v="2"/>
    <x v="4"/>
    <x v="2"/>
  </r>
  <r>
    <x v="254"/>
    <x v="254"/>
    <x v="13"/>
    <x v="1"/>
    <x v="2"/>
    <x v="2"/>
    <x v="1"/>
    <x v="154"/>
    <x v="184"/>
    <x v="1"/>
    <x v="8"/>
    <x v="254"/>
    <x v="251"/>
    <x v="252"/>
    <x v="254"/>
    <x v="0"/>
    <x v="1"/>
    <x v="3"/>
  </r>
  <r>
    <x v="255"/>
    <x v="255"/>
    <x v="60"/>
    <x v="0"/>
    <x v="3"/>
    <x v="3"/>
    <x v="1"/>
    <x v="142"/>
    <x v="129"/>
    <x v="2"/>
    <x v="10"/>
    <x v="255"/>
    <x v="252"/>
    <x v="253"/>
    <x v="255"/>
    <x v="2"/>
    <x v="1"/>
    <x v="2"/>
  </r>
  <r>
    <x v="256"/>
    <x v="256"/>
    <x v="51"/>
    <x v="0"/>
    <x v="3"/>
    <x v="1"/>
    <x v="0"/>
    <x v="182"/>
    <x v="151"/>
    <x v="0"/>
    <x v="13"/>
    <x v="256"/>
    <x v="253"/>
    <x v="254"/>
    <x v="256"/>
    <x v="1"/>
    <x v="1"/>
    <x v="2"/>
  </r>
  <r>
    <x v="257"/>
    <x v="257"/>
    <x v="64"/>
    <x v="1"/>
    <x v="4"/>
    <x v="5"/>
    <x v="2"/>
    <x v="183"/>
    <x v="185"/>
    <x v="2"/>
    <x v="4"/>
    <x v="257"/>
    <x v="254"/>
    <x v="255"/>
    <x v="257"/>
    <x v="0"/>
    <x v="3"/>
    <x v="0"/>
  </r>
  <r>
    <x v="258"/>
    <x v="258"/>
    <x v="81"/>
    <x v="0"/>
    <x v="5"/>
    <x v="2"/>
    <x v="2"/>
    <x v="184"/>
    <x v="186"/>
    <x v="3"/>
    <x v="15"/>
    <x v="258"/>
    <x v="255"/>
    <x v="256"/>
    <x v="258"/>
    <x v="0"/>
    <x v="1"/>
    <x v="2"/>
  </r>
  <r>
    <x v="259"/>
    <x v="259"/>
    <x v="66"/>
    <x v="1"/>
    <x v="2"/>
    <x v="0"/>
    <x v="2"/>
    <x v="185"/>
    <x v="166"/>
    <x v="2"/>
    <x v="12"/>
    <x v="259"/>
    <x v="256"/>
    <x v="257"/>
    <x v="259"/>
    <x v="1"/>
    <x v="4"/>
    <x v="1"/>
  </r>
  <r>
    <x v="260"/>
    <x v="260"/>
    <x v="73"/>
    <x v="1"/>
    <x v="4"/>
    <x v="3"/>
    <x v="0"/>
    <x v="186"/>
    <x v="187"/>
    <x v="1"/>
    <x v="4"/>
    <x v="260"/>
    <x v="257"/>
    <x v="258"/>
    <x v="260"/>
    <x v="3"/>
    <x v="3"/>
    <x v="3"/>
  </r>
  <r>
    <x v="261"/>
    <x v="261"/>
    <x v="36"/>
    <x v="1"/>
    <x v="5"/>
    <x v="3"/>
    <x v="0"/>
    <x v="187"/>
    <x v="188"/>
    <x v="1"/>
    <x v="12"/>
    <x v="261"/>
    <x v="258"/>
    <x v="259"/>
    <x v="261"/>
    <x v="0"/>
    <x v="0"/>
    <x v="2"/>
  </r>
  <r>
    <x v="262"/>
    <x v="262"/>
    <x v="78"/>
    <x v="0"/>
    <x v="1"/>
    <x v="5"/>
    <x v="0"/>
    <x v="187"/>
    <x v="189"/>
    <x v="2"/>
    <x v="2"/>
    <x v="262"/>
    <x v="259"/>
    <x v="260"/>
    <x v="262"/>
    <x v="0"/>
    <x v="2"/>
    <x v="3"/>
  </r>
  <r>
    <x v="263"/>
    <x v="263"/>
    <x v="51"/>
    <x v="0"/>
    <x v="0"/>
    <x v="0"/>
    <x v="0"/>
    <x v="188"/>
    <x v="190"/>
    <x v="3"/>
    <x v="8"/>
    <x v="263"/>
    <x v="260"/>
    <x v="261"/>
    <x v="263"/>
    <x v="2"/>
    <x v="1"/>
    <x v="3"/>
  </r>
  <r>
    <x v="264"/>
    <x v="264"/>
    <x v="25"/>
    <x v="0"/>
    <x v="3"/>
    <x v="1"/>
    <x v="0"/>
    <x v="189"/>
    <x v="191"/>
    <x v="0"/>
    <x v="15"/>
    <x v="264"/>
    <x v="261"/>
    <x v="262"/>
    <x v="264"/>
    <x v="3"/>
    <x v="0"/>
    <x v="3"/>
  </r>
  <r>
    <x v="265"/>
    <x v="265"/>
    <x v="10"/>
    <x v="0"/>
    <x v="1"/>
    <x v="0"/>
    <x v="1"/>
    <x v="178"/>
    <x v="79"/>
    <x v="3"/>
    <x v="9"/>
    <x v="265"/>
    <x v="262"/>
    <x v="263"/>
    <x v="265"/>
    <x v="2"/>
    <x v="4"/>
    <x v="2"/>
  </r>
  <r>
    <x v="266"/>
    <x v="266"/>
    <x v="83"/>
    <x v="0"/>
    <x v="5"/>
    <x v="1"/>
    <x v="2"/>
    <x v="190"/>
    <x v="192"/>
    <x v="0"/>
    <x v="0"/>
    <x v="266"/>
    <x v="263"/>
    <x v="264"/>
    <x v="266"/>
    <x v="2"/>
    <x v="2"/>
    <x v="2"/>
  </r>
  <r>
    <x v="267"/>
    <x v="267"/>
    <x v="9"/>
    <x v="1"/>
    <x v="1"/>
    <x v="0"/>
    <x v="2"/>
    <x v="141"/>
    <x v="193"/>
    <x v="1"/>
    <x v="10"/>
    <x v="267"/>
    <x v="264"/>
    <x v="265"/>
    <x v="267"/>
    <x v="3"/>
    <x v="0"/>
    <x v="3"/>
  </r>
  <r>
    <x v="268"/>
    <x v="268"/>
    <x v="47"/>
    <x v="1"/>
    <x v="0"/>
    <x v="0"/>
    <x v="2"/>
    <x v="41"/>
    <x v="96"/>
    <x v="3"/>
    <x v="10"/>
    <x v="268"/>
    <x v="265"/>
    <x v="266"/>
    <x v="268"/>
    <x v="3"/>
    <x v="2"/>
    <x v="1"/>
  </r>
  <r>
    <x v="269"/>
    <x v="269"/>
    <x v="18"/>
    <x v="1"/>
    <x v="5"/>
    <x v="4"/>
    <x v="2"/>
    <x v="191"/>
    <x v="59"/>
    <x v="0"/>
    <x v="16"/>
    <x v="269"/>
    <x v="266"/>
    <x v="267"/>
    <x v="269"/>
    <x v="1"/>
    <x v="1"/>
    <x v="3"/>
  </r>
  <r>
    <x v="270"/>
    <x v="270"/>
    <x v="9"/>
    <x v="1"/>
    <x v="1"/>
    <x v="3"/>
    <x v="2"/>
    <x v="192"/>
    <x v="179"/>
    <x v="2"/>
    <x v="9"/>
    <x v="270"/>
    <x v="267"/>
    <x v="268"/>
    <x v="270"/>
    <x v="3"/>
    <x v="4"/>
    <x v="1"/>
  </r>
  <r>
    <x v="271"/>
    <x v="271"/>
    <x v="7"/>
    <x v="0"/>
    <x v="3"/>
    <x v="0"/>
    <x v="2"/>
    <x v="193"/>
    <x v="140"/>
    <x v="1"/>
    <x v="9"/>
    <x v="271"/>
    <x v="268"/>
    <x v="269"/>
    <x v="271"/>
    <x v="0"/>
    <x v="2"/>
    <x v="3"/>
  </r>
  <r>
    <x v="272"/>
    <x v="272"/>
    <x v="2"/>
    <x v="1"/>
    <x v="3"/>
    <x v="5"/>
    <x v="2"/>
    <x v="194"/>
    <x v="194"/>
    <x v="2"/>
    <x v="3"/>
    <x v="272"/>
    <x v="269"/>
    <x v="270"/>
    <x v="272"/>
    <x v="3"/>
    <x v="0"/>
    <x v="0"/>
  </r>
  <r>
    <x v="273"/>
    <x v="273"/>
    <x v="44"/>
    <x v="0"/>
    <x v="4"/>
    <x v="0"/>
    <x v="2"/>
    <x v="20"/>
    <x v="61"/>
    <x v="1"/>
    <x v="7"/>
    <x v="273"/>
    <x v="270"/>
    <x v="271"/>
    <x v="273"/>
    <x v="1"/>
    <x v="1"/>
    <x v="3"/>
  </r>
  <r>
    <x v="274"/>
    <x v="274"/>
    <x v="15"/>
    <x v="1"/>
    <x v="1"/>
    <x v="2"/>
    <x v="1"/>
    <x v="81"/>
    <x v="195"/>
    <x v="3"/>
    <x v="1"/>
    <x v="274"/>
    <x v="271"/>
    <x v="272"/>
    <x v="274"/>
    <x v="1"/>
    <x v="1"/>
    <x v="3"/>
  </r>
  <r>
    <x v="275"/>
    <x v="275"/>
    <x v="37"/>
    <x v="0"/>
    <x v="2"/>
    <x v="3"/>
    <x v="2"/>
    <x v="31"/>
    <x v="196"/>
    <x v="3"/>
    <x v="3"/>
    <x v="275"/>
    <x v="272"/>
    <x v="273"/>
    <x v="275"/>
    <x v="1"/>
    <x v="0"/>
    <x v="2"/>
  </r>
  <r>
    <x v="276"/>
    <x v="276"/>
    <x v="21"/>
    <x v="0"/>
    <x v="1"/>
    <x v="2"/>
    <x v="1"/>
    <x v="116"/>
    <x v="164"/>
    <x v="1"/>
    <x v="2"/>
    <x v="276"/>
    <x v="273"/>
    <x v="274"/>
    <x v="276"/>
    <x v="3"/>
    <x v="0"/>
    <x v="1"/>
  </r>
  <r>
    <x v="277"/>
    <x v="277"/>
    <x v="86"/>
    <x v="1"/>
    <x v="5"/>
    <x v="3"/>
    <x v="0"/>
    <x v="65"/>
    <x v="197"/>
    <x v="1"/>
    <x v="6"/>
    <x v="277"/>
    <x v="274"/>
    <x v="275"/>
    <x v="277"/>
    <x v="3"/>
    <x v="2"/>
    <x v="0"/>
  </r>
  <r>
    <x v="278"/>
    <x v="278"/>
    <x v="33"/>
    <x v="1"/>
    <x v="5"/>
    <x v="2"/>
    <x v="2"/>
    <x v="44"/>
    <x v="165"/>
    <x v="1"/>
    <x v="14"/>
    <x v="278"/>
    <x v="275"/>
    <x v="276"/>
    <x v="278"/>
    <x v="2"/>
    <x v="3"/>
    <x v="1"/>
  </r>
  <r>
    <x v="279"/>
    <x v="279"/>
    <x v="54"/>
    <x v="1"/>
    <x v="1"/>
    <x v="0"/>
    <x v="0"/>
    <x v="195"/>
    <x v="198"/>
    <x v="3"/>
    <x v="10"/>
    <x v="279"/>
    <x v="276"/>
    <x v="277"/>
    <x v="279"/>
    <x v="2"/>
    <x v="1"/>
    <x v="0"/>
  </r>
  <r>
    <x v="280"/>
    <x v="280"/>
    <x v="74"/>
    <x v="1"/>
    <x v="0"/>
    <x v="0"/>
    <x v="0"/>
    <x v="196"/>
    <x v="199"/>
    <x v="0"/>
    <x v="17"/>
    <x v="280"/>
    <x v="277"/>
    <x v="278"/>
    <x v="280"/>
    <x v="0"/>
    <x v="2"/>
    <x v="3"/>
  </r>
  <r>
    <x v="281"/>
    <x v="281"/>
    <x v="47"/>
    <x v="0"/>
    <x v="3"/>
    <x v="4"/>
    <x v="0"/>
    <x v="159"/>
    <x v="200"/>
    <x v="2"/>
    <x v="0"/>
    <x v="281"/>
    <x v="278"/>
    <x v="279"/>
    <x v="281"/>
    <x v="2"/>
    <x v="0"/>
    <x v="2"/>
  </r>
  <r>
    <x v="282"/>
    <x v="282"/>
    <x v="41"/>
    <x v="1"/>
    <x v="5"/>
    <x v="5"/>
    <x v="1"/>
    <x v="197"/>
    <x v="201"/>
    <x v="2"/>
    <x v="4"/>
    <x v="282"/>
    <x v="279"/>
    <x v="280"/>
    <x v="282"/>
    <x v="0"/>
    <x v="2"/>
    <x v="2"/>
  </r>
  <r>
    <x v="283"/>
    <x v="283"/>
    <x v="25"/>
    <x v="1"/>
    <x v="3"/>
    <x v="2"/>
    <x v="0"/>
    <x v="198"/>
    <x v="103"/>
    <x v="3"/>
    <x v="8"/>
    <x v="283"/>
    <x v="280"/>
    <x v="281"/>
    <x v="283"/>
    <x v="1"/>
    <x v="0"/>
    <x v="1"/>
  </r>
  <r>
    <x v="284"/>
    <x v="284"/>
    <x v="3"/>
    <x v="0"/>
    <x v="5"/>
    <x v="1"/>
    <x v="0"/>
    <x v="199"/>
    <x v="62"/>
    <x v="2"/>
    <x v="11"/>
    <x v="284"/>
    <x v="281"/>
    <x v="282"/>
    <x v="284"/>
    <x v="2"/>
    <x v="4"/>
    <x v="2"/>
  </r>
  <r>
    <x v="285"/>
    <x v="285"/>
    <x v="56"/>
    <x v="1"/>
    <x v="4"/>
    <x v="4"/>
    <x v="0"/>
    <x v="55"/>
    <x v="198"/>
    <x v="1"/>
    <x v="13"/>
    <x v="285"/>
    <x v="282"/>
    <x v="283"/>
    <x v="285"/>
    <x v="3"/>
    <x v="0"/>
    <x v="1"/>
  </r>
  <r>
    <x v="286"/>
    <x v="286"/>
    <x v="18"/>
    <x v="1"/>
    <x v="2"/>
    <x v="2"/>
    <x v="2"/>
    <x v="200"/>
    <x v="53"/>
    <x v="0"/>
    <x v="1"/>
    <x v="286"/>
    <x v="283"/>
    <x v="284"/>
    <x v="286"/>
    <x v="2"/>
    <x v="0"/>
    <x v="1"/>
  </r>
  <r>
    <x v="287"/>
    <x v="287"/>
    <x v="79"/>
    <x v="1"/>
    <x v="5"/>
    <x v="2"/>
    <x v="2"/>
    <x v="82"/>
    <x v="127"/>
    <x v="2"/>
    <x v="2"/>
    <x v="287"/>
    <x v="284"/>
    <x v="285"/>
    <x v="287"/>
    <x v="0"/>
    <x v="0"/>
    <x v="0"/>
  </r>
  <r>
    <x v="288"/>
    <x v="288"/>
    <x v="18"/>
    <x v="1"/>
    <x v="3"/>
    <x v="4"/>
    <x v="1"/>
    <x v="35"/>
    <x v="20"/>
    <x v="0"/>
    <x v="13"/>
    <x v="288"/>
    <x v="285"/>
    <x v="286"/>
    <x v="288"/>
    <x v="2"/>
    <x v="3"/>
    <x v="1"/>
  </r>
  <r>
    <x v="289"/>
    <x v="289"/>
    <x v="35"/>
    <x v="1"/>
    <x v="4"/>
    <x v="0"/>
    <x v="1"/>
    <x v="88"/>
    <x v="76"/>
    <x v="1"/>
    <x v="1"/>
    <x v="289"/>
    <x v="286"/>
    <x v="287"/>
    <x v="289"/>
    <x v="1"/>
    <x v="0"/>
    <x v="0"/>
  </r>
  <r>
    <x v="290"/>
    <x v="290"/>
    <x v="4"/>
    <x v="0"/>
    <x v="5"/>
    <x v="2"/>
    <x v="2"/>
    <x v="201"/>
    <x v="3"/>
    <x v="2"/>
    <x v="10"/>
    <x v="290"/>
    <x v="287"/>
    <x v="288"/>
    <x v="290"/>
    <x v="3"/>
    <x v="1"/>
    <x v="2"/>
  </r>
  <r>
    <x v="291"/>
    <x v="291"/>
    <x v="51"/>
    <x v="1"/>
    <x v="0"/>
    <x v="0"/>
    <x v="1"/>
    <x v="77"/>
    <x v="65"/>
    <x v="3"/>
    <x v="1"/>
    <x v="291"/>
    <x v="288"/>
    <x v="289"/>
    <x v="291"/>
    <x v="0"/>
    <x v="1"/>
    <x v="1"/>
  </r>
  <r>
    <x v="292"/>
    <x v="292"/>
    <x v="83"/>
    <x v="1"/>
    <x v="2"/>
    <x v="4"/>
    <x v="2"/>
    <x v="50"/>
    <x v="202"/>
    <x v="0"/>
    <x v="3"/>
    <x v="292"/>
    <x v="289"/>
    <x v="290"/>
    <x v="292"/>
    <x v="3"/>
    <x v="2"/>
    <x v="1"/>
  </r>
  <r>
    <x v="293"/>
    <x v="293"/>
    <x v="40"/>
    <x v="1"/>
    <x v="5"/>
    <x v="0"/>
    <x v="0"/>
    <x v="202"/>
    <x v="203"/>
    <x v="1"/>
    <x v="9"/>
    <x v="293"/>
    <x v="290"/>
    <x v="291"/>
    <x v="293"/>
    <x v="3"/>
    <x v="3"/>
    <x v="3"/>
  </r>
  <r>
    <x v="294"/>
    <x v="294"/>
    <x v="30"/>
    <x v="1"/>
    <x v="4"/>
    <x v="3"/>
    <x v="0"/>
    <x v="147"/>
    <x v="204"/>
    <x v="0"/>
    <x v="3"/>
    <x v="294"/>
    <x v="291"/>
    <x v="292"/>
    <x v="294"/>
    <x v="0"/>
    <x v="2"/>
    <x v="1"/>
  </r>
  <r>
    <x v="295"/>
    <x v="295"/>
    <x v="84"/>
    <x v="1"/>
    <x v="0"/>
    <x v="1"/>
    <x v="1"/>
    <x v="105"/>
    <x v="205"/>
    <x v="2"/>
    <x v="16"/>
    <x v="295"/>
    <x v="292"/>
    <x v="293"/>
    <x v="295"/>
    <x v="3"/>
    <x v="1"/>
    <x v="1"/>
  </r>
  <r>
    <x v="296"/>
    <x v="296"/>
    <x v="80"/>
    <x v="0"/>
    <x v="1"/>
    <x v="2"/>
    <x v="2"/>
    <x v="203"/>
    <x v="206"/>
    <x v="2"/>
    <x v="13"/>
    <x v="296"/>
    <x v="293"/>
    <x v="294"/>
    <x v="296"/>
    <x v="3"/>
    <x v="1"/>
    <x v="3"/>
  </r>
  <r>
    <x v="297"/>
    <x v="297"/>
    <x v="18"/>
    <x v="1"/>
    <x v="4"/>
    <x v="5"/>
    <x v="2"/>
    <x v="38"/>
    <x v="143"/>
    <x v="3"/>
    <x v="18"/>
    <x v="297"/>
    <x v="294"/>
    <x v="295"/>
    <x v="297"/>
    <x v="2"/>
    <x v="4"/>
    <x v="3"/>
  </r>
  <r>
    <x v="298"/>
    <x v="298"/>
    <x v="51"/>
    <x v="0"/>
    <x v="4"/>
    <x v="1"/>
    <x v="1"/>
    <x v="38"/>
    <x v="207"/>
    <x v="1"/>
    <x v="8"/>
    <x v="298"/>
    <x v="295"/>
    <x v="296"/>
    <x v="298"/>
    <x v="3"/>
    <x v="0"/>
    <x v="2"/>
  </r>
  <r>
    <x v="299"/>
    <x v="299"/>
    <x v="19"/>
    <x v="0"/>
    <x v="0"/>
    <x v="0"/>
    <x v="2"/>
    <x v="42"/>
    <x v="208"/>
    <x v="1"/>
    <x v="7"/>
    <x v="299"/>
    <x v="296"/>
    <x v="297"/>
    <x v="299"/>
    <x v="3"/>
    <x v="1"/>
    <x v="1"/>
  </r>
  <r>
    <x v="300"/>
    <x v="300"/>
    <x v="23"/>
    <x v="1"/>
    <x v="4"/>
    <x v="2"/>
    <x v="0"/>
    <x v="204"/>
    <x v="173"/>
    <x v="3"/>
    <x v="7"/>
    <x v="300"/>
    <x v="297"/>
    <x v="298"/>
    <x v="300"/>
    <x v="3"/>
    <x v="2"/>
    <x v="2"/>
  </r>
  <r>
    <x v="301"/>
    <x v="301"/>
    <x v="67"/>
    <x v="1"/>
    <x v="0"/>
    <x v="0"/>
    <x v="1"/>
    <x v="166"/>
    <x v="209"/>
    <x v="3"/>
    <x v="1"/>
    <x v="301"/>
    <x v="298"/>
    <x v="299"/>
    <x v="301"/>
    <x v="3"/>
    <x v="2"/>
    <x v="2"/>
  </r>
  <r>
    <x v="302"/>
    <x v="302"/>
    <x v="11"/>
    <x v="1"/>
    <x v="5"/>
    <x v="3"/>
    <x v="1"/>
    <x v="205"/>
    <x v="210"/>
    <x v="1"/>
    <x v="2"/>
    <x v="302"/>
    <x v="299"/>
    <x v="300"/>
    <x v="302"/>
    <x v="0"/>
    <x v="0"/>
    <x v="3"/>
  </r>
  <r>
    <x v="303"/>
    <x v="303"/>
    <x v="14"/>
    <x v="1"/>
    <x v="0"/>
    <x v="4"/>
    <x v="2"/>
    <x v="125"/>
    <x v="211"/>
    <x v="0"/>
    <x v="11"/>
    <x v="303"/>
    <x v="300"/>
    <x v="301"/>
    <x v="303"/>
    <x v="1"/>
    <x v="0"/>
    <x v="0"/>
  </r>
  <r>
    <x v="304"/>
    <x v="304"/>
    <x v="15"/>
    <x v="0"/>
    <x v="0"/>
    <x v="2"/>
    <x v="1"/>
    <x v="137"/>
    <x v="82"/>
    <x v="0"/>
    <x v="9"/>
    <x v="304"/>
    <x v="301"/>
    <x v="302"/>
    <x v="304"/>
    <x v="2"/>
    <x v="4"/>
    <x v="2"/>
  </r>
  <r>
    <x v="305"/>
    <x v="305"/>
    <x v="28"/>
    <x v="1"/>
    <x v="2"/>
    <x v="3"/>
    <x v="2"/>
    <x v="206"/>
    <x v="212"/>
    <x v="3"/>
    <x v="15"/>
    <x v="305"/>
    <x v="302"/>
    <x v="303"/>
    <x v="305"/>
    <x v="3"/>
    <x v="3"/>
    <x v="0"/>
  </r>
  <r>
    <x v="306"/>
    <x v="306"/>
    <x v="47"/>
    <x v="1"/>
    <x v="0"/>
    <x v="3"/>
    <x v="2"/>
    <x v="207"/>
    <x v="213"/>
    <x v="0"/>
    <x v="14"/>
    <x v="306"/>
    <x v="303"/>
    <x v="304"/>
    <x v="306"/>
    <x v="3"/>
    <x v="2"/>
    <x v="1"/>
  </r>
  <r>
    <x v="307"/>
    <x v="307"/>
    <x v="40"/>
    <x v="1"/>
    <x v="0"/>
    <x v="2"/>
    <x v="2"/>
    <x v="102"/>
    <x v="65"/>
    <x v="1"/>
    <x v="17"/>
    <x v="307"/>
    <x v="304"/>
    <x v="305"/>
    <x v="307"/>
    <x v="0"/>
    <x v="0"/>
    <x v="3"/>
  </r>
  <r>
    <x v="308"/>
    <x v="308"/>
    <x v="68"/>
    <x v="1"/>
    <x v="1"/>
    <x v="0"/>
    <x v="2"/>
    <x v="129"/>
    <x v="21"/>
    <x v="2"/>
    <x v="0"/>
    <x v="308"/>
    <x v="305"/>
    <x v="306"/>
    <x v="308"/>
    <x v="1"/>
    <x v="2"/>
    <x v="1"/>
  </r>
  <r>
    <x v="309"/>
    <x v="309"/>
    <x v="68"/>
    <x v="1"/>
    <x v="5"/>
    <x v="5"/>
    <x v="2"/>
    <x v="46"/>
    <x v="214"/>
    <x v="2"/>
    <x v="18"/>
    <x v="309"/>
    <x v="306"/>
    <x v="307"/>
    <x v="309"/>
    <x v="3"/>
    <x v="0"/>
    <x v="1"/>
  </r>
  <r>
    <x v="310"/>
    <x v="310"/>
    <x v="4"/>
    <x v="1"/>
    <x v="2"/>
    <x v="3"/>
    <x v="1"/>
    <x v="208"/>
    <x v="180"/>
    <x v="0"/>
    <x v="18"/>
    <x v="310"/>
    <x v="307"/>
    <x v="27"/>
    <x v="310"/>
    <x v="0"/>
    <x v="1"/>
    <x v="3"/>
  </r>
  <r>
    <x v="311"/>
    <x v="311"/>
    <x v="14"/>
    <x v="0"/>
    <x v="1"/>
    <x v="1"/>
    <x v="0"/>
    <x v="145"/>
    <x v="2"/>
    <x v="3"/>
    <x v="18"/>
    <x v="311"/>
    <x v="308"/>
    <x v="308"/>
    <x v="311"/>
    <x v="2"/>
    <x v="2"/>
    <x v="1"/>
  </r>
  <r>
    <x v="312"/>
    <x v="312"/>
    <x v="63"/>
    <x v="0"/>
    <x v="3"/>
    <x v="3"/>
    <x v="0"/>
    <x v="209"/>
    <x v="215"/>
    <x v="3"/>
    <x v="0"/>
    <x v="312"/>
    <x v="309"/>
    <x v="309"/>
    <x v="312"/>
    <x v="2"/>
    <x v="1"/>
    <x v="3"/>
  </r>
  <r>
    <x v="313"/>
    <x v="313"/>
    <x v="16"/>
    <x v="1"/>
    <x v="5"/>
    <x v="5"/>
    <x v="1"/>
    <x v="38"/>
    <x v="216"/>
    <x v="3"/>
    <x v="17"/>
    <x v="313"/>
    <x v="310"/>
    <x v="310"/>
    <x v="313"/>
    <x v="3"/>
    <x v="2"/>
    <x v="0"/>
  </r>
  <r>
    <x v="314"/>
    <x v="314"/>
    <x v="81"/>
    <x v="1"/>
    <x v="5"/>
    <x v="0"/>
    <x v="1"/>
    <x v="210"/>
    <x v="217"/>
    <x v="3"/>
    <x v="5"/>
    <x v="314"/>
    <x v="311"/>
    <x v="311"/>
    <x v="314"/>
    <x v="3"/>
    <x v="3"/>
    <x v="1"/>
  </r>
  <r>
    <x v="315"/>
    <x v="315"/>
    <x v="3"/>
    <x v="1"/>
    <x v="3"/>
    <x v="0"/>
    <x v="0"/>
    <x v="158"/>
    <x v="31"/>
    <x v="3"/>
    <x v="0"/>
    <x v="315"/>
    <x v="312"/>
    <x v="312"/>
    <x v="315"/>
    <x v="1"/>
    <x v="4"/>
    <x v="3"/>
  </r>
  <r>
    <x v="316"/>
    <x v="316"/>
    <x v="51"/>
    <x v="0"/>
    <x v="0"/>
    <x v="1"/>
    <x v="0"/>
    <x v="211"/>
    <x v="123"/>
    <x v="0"/>
    <x v="4"/>
    <x v="316"/>
    <x v="313"/>
    <x v="313"/>
    <x v="316"/>
    <x v="1"/>
    <x v="1"/>
    <x v="2"/>
  </r>
  <r>
    <x v="317"/>
    <x v="317"/>
    <x v="78"/>
    <x v="1"/>
    <x v="1"/>
    <x v="3"/>
    <x v="0"/>
    <x v="212"/>
    <x v="169"/>
    <x v="2"/>
    <x v="7"/>
    <x v="317"/>
    <x v="314"/>
    <x v="314"/>
    <x v="317"/>
    <x v="3"/>
    <x v="0"/>
    <x v="1"/>
  </r>
  <r>
    <x v="318"/>
    <x v="318"/>
    <x v="34"/>
    <x v="0"/>
    <x v="4"/>
    <x v="0"/>
    <x v="0"/>
    <x v="213"/>
    <x v="102"/>
    <x v="2"/>
    <x v="4"/>
    <x v="318"/>
    <x v="315"/>
    <x v="315"/>
    <x v="318"/>
    <x v="0"/>
    <x v="3"/>
    <x v="0"/>
  </r>
  <r>
    <x v="319"/>
    <x v="319"/>
    <x v="41"/>
    <x v="1"/>
    <x v="2"/>
    <x v="5"/>
    <x v="0"/>
    <x v="199"/>
    <x v="39"/>
    <x v="0"/>
    <x v="2"/>
    <x v="319"/>
    <x v="316"/>
    <x v="316"/>
    <x v="319"/>
    <x v="1"/>
    <x v="2"/>
    <x v="3"/>
  </r>
  <r>
    <x v="320"/>
    <x v="320"/>
    <x v="16"/>
    <x v="1"/>
    <x v="4"/>
    <x v="2"/>
    <x v="2"/>
    <x v="214"/>
    <x v="64"/>
    <x v="3"/>
    <x v="14"/>
    <x v="320"/>
    <x v="317"/>
    <x v="317"/>
    <x v="320"/>
    <x v="3"/>
    <x v="1"/>
    <x v="1"/>
  </r>
  <r>
    <x v="321"/>
    <x v="321"/>
    <x v="22"/>
    <x v="1"/>
    <x v="3"/>
    <x v="4"/>
    <x v="1"/>
    <x v="215"/>
    <x v="162"/>
    <x v="0"/>
    <x v="4"/>
    <x v="321"/>
    <x v="318"/>
    <x v="318"/>
    <x v="321"/>
    <x v="1"/>
    <x v="2"/>
    <x v="1"/>
  </r>
  <r>
    <x v="322"/>
    <x v="322"/>
    <x v="80"/>
    <x v="1"/>
    <x v="5"/>
    <x v="4"/>
    <x v="2"/>
    <x v="156"/>
    <x v="218"/>
    <x v="2"/>
    <x v="14"/>
    <x v="322"/>
    <x v="319"/>
    <x v="319"/>
    <x v="322"/>
    <x v="3"/>
    <x v="2"/>
    <x v="1"/>
  </r>
  <r>
    <x v="323"/>
    <x v="323"/>
    <x v="39"/>
    <x v="0"/>
    <x v="5"/>
    <x v="4"/>
    <x v="0"/>
    <x v="216"/>
    <x v="185"/>
    <x v="1"/>
    <x v="7"/>
    <x v="323"/>
    <x v="320"/>
    <x v="320"/>
    <x v="323"/>
    <x v="2"/>
    <x v="2"/>
    <x v="0"/>
  </r>
  <r>
    <x v="324"/>
    <x v="324"/>
    <x v="14"/>
    <x v="0"/>
    <x v="2"/>
    <x v="3"/>
    <x v="0"/>
    <x v="35"/>
    <x v="219"/>
    <x v="0"/>
    <x v="1"/>
    <x v="324"/>
    <x v="321"/>
    <x v="321"/>
    <x v="324"/>
    <x v="3"/>
    <x v="4"/>
    <x v="3"/>
  </r>
  <r>
    <x v="325"/>
    <x v="325"/>
    <x v="87"/>
    <x v="1"/>
    <x v="5"/>
    <x v="1"/>
    <x v="0"/>
    <x v="35"/>
    <x v="220"/>
    <x v="3"/>
    <x v="10"/>
    <x v="325"/>
    <x v="322"/>
    <x v="322"/>
    <x v="325"/>
    <x v="2"/>
    <x v="4"/>
    <x v="2"/>
  </r>
  <r>
    <x v="326"/>
    <x v="326"/>
    <x v="46"/>
    <x v="1"/>
    <x v="5"/>
    <x v="0"/>
    <x v="2"/>
    <x v="217"/>
    <x v="153"/>
    <x v="2"/>
    <x v="11"/>
    <x v="326"/>
    <x v="323"/>
    <x v="323"/>
    <x v="326"/>
    <x v="1"/>
    <x v="0"/>
    <x v="2"/>
  </r>
  <r>
    <x v="327"/>
    <x v="327"/>
    <x v="66"/>
    <x v="0"/>
    <x v="2"/>
    <x v="2"/>
    <x v="2"/>
    <x v="218"/>
    <x v="194"/>
    <x v="2"/>
    <x v="11"/>
    <x v="327"/>
    <x v="324"/>
    <x v="324"/>
    <x v="327"/>
    <x v="3"/>
    <x v="1"/>
    <x v="2"/>
  </r>
  <r>
    <x v="328"/>
    <x v="328"/>
    <x v="9"/>
    <x v="0"/>
    <x v="1"/>
    <x v="5"/>
    <x v="0"/>
    <x v="31"/>
    <x v="121"/>
    <x v="2"/>
    <x v="13"/>
    <x v="328"/>
    <x v="325"/>
    <x v="325"/>
    <x v="328"/>
    <x v="1"/>
    <x v="3"/>
    <x v="3"/>
  </r>
  <r>
    <x v="329"/>
    <x v="329"/>
    <x v="87"/>
    <x v="0"/>
    <x v="1"/>
    <x v="2"/>
    <x v="2"/>
    <x v="92"/>
    <x v="221"/>
    <x v="2"/>
    <x v="14"/>
    <x v="329"/>
    <x v="326"/>
    <x v="326"/>
    <x v="329"/>
    <x v="2"/>
    <x v="3"/>
    <x v="2"/>
  </r>
  <r>
    <x v="330"/>
    <x v="330"/>
    <x v="12"/>
    <x v="0"/>
    <x v="2"/>
    <x v="5"/>
    <x v="2"/>
    <x v="219"/>
    <x v="77"/>
    <x v="3"/>
    <x v="0"/>
    <x v="330"/>
    <x v="327"/>
    <x v="327"/>
    <x v="330"/>
    <x v="3"/>
    <x v="3"/>
    <x v="0"/>
  </r>
  <r>
    <x v="331"/>
    <x v="331"/>
    <x v="17"/>
    <x v="1"/>
    <x v="3"/>
    <x v="3"/>
    <x v="0"/>
    <x v="45"/>
    <x v="222"/>
    <x v="1"/>
    <x v="9"/>
    <x v="331"/>
    <x v="328"/>
    <x v="328"/>
    <x v="331"/>
    <x v="1"/>
    <x v="2"/>
    <x v="3"/>
  </r>
  <r>
    <x v="332"/>
    <x v="332"/>
    <x v="48"/>
    <x v="0"/>
    <x v="5"/>
    <x v="4"/>
    <x v="2"/>
    <x v="220"/>
    <x v="157"/>
    <x v="2"/>
    <x v="7"/>
    <x v="332"/>
    <x v="329"/>
    <x v="329"/>
    <x v="332"/>
    <x v="2"/>
    <x v="4"/>
    <x v="1"/>
  </r>
  <r>
    <x v="333"/>
    <x v="333"/>
    <x v="53"/>
    <x v="1"/>
    <x v="5"/>
    <x v="3"/>
    <x v="1"/>
    <x v="221"/>
    <x v="223"/>
    <x v="0"/>
    <x v="11"/>
    <x v="333"/>
    <x v="330"/>
    <x v="330"/>
    <x v="333"/>
    <x v="1"/>
    <x v="1"/>
    <x v="0"/>
  </r>
  <r>
    <x v="334"/>
    <x v="334"/>
    <x v="73"/>
    <x v="0"/>
    <x v="3"/>
    <x v="1"/>
    <x v="1"/>
    <x v="169"/>
    <x v="209"/>
    <x v="1"/>
    <x v="2"/>
    <x v="334"/>
    <x v="331"/>
    <x v="331"/>
    <x v="334"/>
    <x v="0"/>
    <x v="2"/>
    <x v="1"/>
  </r>
  <r>
    <x v="335"/>
    <x v="335"/>
    <x v="6"/>
    <x v="0"/>
    <x v="1"/>
    <x v="1"/>
    <x v="1"/>
    <x v="81"/>
    <x v="195"/>
    <x v="2"/>
    <x v="13"/>
    <x v="335"/>
    <x v="332"/>
    <x v="332"/>
    <x v="335"/>
    <x v="2"/>
    <x v="4"/>
    <x v="2"/>
  </r>
  <r>
    <x v="336"/>
    <x v="336"/>
    <x v="18"/>
    <x v="0"/>
    <x v="0"/>
    <x v="5"/>
    <x v="1"/>
    <x v="135"/>
    <x v="224"/>
    <x v="1"/>
    <x v="10"/>
    <x v="336"/>
    <x v="333"/>
    <x v="333"/>
    <x v="336"/>
    <x v="2"/>
    <x v="4"/>
    <x v="0"/>
  </r>
  <r>
    <x v="337"/>
    <x v="337"/>
    <x v="84"/>
    <x v="0"/>
    <x v="0"/>
    <x v="0"/>
    <x v="0"/>
    <x v="6"/>
    <x v="153"/>
    <x v="0"/>
    <x v="15"/>
    <x v="337"/>
    <x v="334"/>
    <x v="334"/>
    <x v="337"/>
    <x v="2"/>
    <x v="1"/>
    <x v="3"/>
  </r>
  <r>
    <x v="338"/>
    <x v="338"/>
    <x v="33"/>
    <x v="0"/>
    <x v="0"/>
    <x v="0"/>
    <x v="0"/>
    <x v="222"/>
    <x v="40"/>
    <x v="2"/>
    <x v="18"/>
    <x v="338"/>
    <x v="335"/>
    <x v="335"/>
    <x v="338"/>
    <x v="3"/>
    <x v="1"/>
    <x v="0"/>
  </r>
  <r>
    <x v="339"/>
    <x v="339"/>
    <x v="86"/>
    <x v="1"/>
    <x v="1"/>
    <x v="5"/>
    <x v="0"/>
    <x v="110"/>
    <x v="225"/>
    <x v="0"/>
    <x v="8"/>
    <x v="339"/>
    <x v="336"/>
    <x v="336"/>
    <x v="339"/>
    <x v="3"/>
    <x v="1"/>
    <x v="1"/>
  </r>
  <r>
    <x v="340"/>
    <x v="340"/>
    <x v="47"/>
    <x v="1"/>
    <x v="1"/>
    <x v="1"/>
    <x v="1"/>
    <x v="223"/>
    <x v="136"/>
    <x v="3"/>
    <x v="15"/>
    <x v="340"/>
    <x v="337"/>
    <x v="337"/>
    <x v="340"/>
    <x v="3"/>
    <x v="2"/>
    <x v="3"/>
  </r>
  <r>
    <x v="341"/>
    <x v="341"/>
    <x v="20"/>
    <x v="0"/>
    <x v="3"/>
    <x v="1"/>
    <x v="1"/>
    <x v="26"/>
    <x v="178"/>
    <x v="2"/>
    <x v="15"/>
    <x v="341"/>
    <x v="338"/>
    <x v="338"/>
    <x v="341"/>
    <x v="0"/>
    <x v="0"/>
    <x v="0"/>
  </r>
  <r>
    <x v="342"/>
    <x v="342"/>
    <x v="84"/>
    <x v="0"/>
    <x v="5"/>
    <x v="1"/>
    <x v="2"/>
    <x v="224"/>
    <x v="172"/>
    <x v="2"/>
    <x v="7"/>
    <x v="342"/>
    <x v="339"/>
    <x v="339"/>
    <x v="342"/>
    <x v="0"/>
    <x v="1"/>
    <x v="0"/>
  </r>
  <r>
    <x v="343"/>
    <x v="343"/>
    <x v="87"/>
    <x v="1"/>
    <x v="3"/>
    <x v="3"/>
    <x v="2"/>
    <x v="202"/>
    <x v="6"/>
    <x v="2"/>
    <x v="17"/>
    <x v="343"/>
    <x v="340"/>
    <x v="340"/>
    <x v="343"/>
    <x v="2"/>
    <x v="0"/>
    <x v="0"/>
  </r>
  <r>
    <x v="344"/>
    <x v="344"/>
    <x v="9"/>
    <x v="0"/>
    <x v="3"/>
    <x v="1"/>
    <x v="1"/>
    <x v="50"/>
    <x v="75"/>
    <x v="2"/>
    <x v="6"/>
    <x v="344"/>
    <x v="341"/>
    <x v="341"/>
    <x v="344"/>
    <x v="0"/>
    <x v="2"/>
    <x v="0"/>
  </r>
  <r>
    <x v="345"/>
    <x v="345"/>
    <x v="73"/>
    <x v="0"/>
    <x v="1"/>
    <x v="2"/>
    <x v="1"/>
    <x v="165"/>
    <x v="226"/>
    <x v="3"/>
    <x v="17"/>
    <x v="345"/>
    <x v="342"/>
    <x v="342"/>
    <x v="345"/>
    <x v="1"/>
    <x v="0"/>
    <x v="3"/>
  </r>
  <r>
    <x v="346"/>
    <x v="346"/>
    <x v="27"/>
    <x v="1"/>
    <x v="0"/>
    <x v="4"/>
    <x v="1"/>
    <x v="145"/>
    <x v="130"/>
    <x v="2"/>
    <x v="3"/>
    <x v="346"/>
    <x v="343"/>
    <x v="343"/>
    <x v="346"/>
    <x v="2"/>
    <x v="3"/>
    <x v="1"/>
  </r>
  <r>
    <x v="347"/>
    <x v="347"/>
    <x v="67"/>
    <x v="0"/>
    <x v="4"/>
    <x v="1"/>
    <x v="1"/>
    <x v="225"/>
    <x v="65"/>
    <x v="1"/>
    <x v="13"/>
    <x v="347"/>
    <x v="344"/>
    <x v="344"/>
    <x v="347"/>
    <x v="2"/>
    <x v="0"/>
    <x v="0"/>
  </r>
  <r>
    <x v="348"/>
    <x v="348"/>
    <x v="65"/>
    <x v="0"/>
    <x v="5"/>
    <x v="5"/>
    <x v="2"/>
    <x v="226"/>
    <x v="60"/>
    <x v="2"/>
    <x v="5"/>
    <x v="348"/>
    <x v="345"/>
    <x v="345"/>
    <x v="348"/>
    <x v="1"/>
    <x v="1"/>
    <x v="3"/>
  </r>
  <r>
    <x v="349"/>
    <x v="349"/>
    <x v="74"/>
    <x v="1"/>
    <x v="1"/>
    <x v="4"/>
    <x v="1"/>
    <x v="89"/>
    <x v="227"/>
    <x v="3"/>
    <x v="2"/>
    <x v="349"/>
    <x v="346"/>
    <x v="346"/>
    <x v="349"/>
    <x v="2"/>
    <x v="2"/>
    <x v="1"/>
  </r>
  <r>
    <x v="350"/>
    <x v="350"/>
    <x v="68"/>
    <x v="1"/>
    <x v="0"/>
    <x v="3"/>
    <x v="2"/>
    <x v="227"/>
    <x v="127"/>
    <x v="2"/>
    <x v="1"/>
    <x v="350"/>
    <x v="347"/>
    <x v="347"/>
    <x v="350"/>
    <x v="0"/>
    <x v="1"/>
    <x v="0"/>
  </r>
  <r>
    <x v="351"/>
    <x v="351"/>
    <x v="13"/>
    <x v="1"/>
    <x v="4"/>
    <x v="5"/>
    <x v="1"/>
    <x v="228"/>
    <x v="217"/>
    <x v="1"/>
    <x v="6"/>
    <x v="351"/>
    <x v="348"/>
    <x v="348"/>
    <x v="351"/>
    <x v="3"/>
    <x v="3"/>
    <x v="1"/>
  </r>
  <r>
    <x v="352"/>
    <x v="352"/>
    <x v="80"/>
    <x v="0"/>
    <x v="4"/>
    <x v="4"/>
    <x v="1"/>
    <x v="208"/>
    <x v="228"/>
    <x v="3"/>
    <x v="4"/>
    <x v="352"/>
    <x v="349"/>
    <x v="349"/>
    <x v="352"/>
    <x v="1"/>
    <x v="1"/>
    <x v="1"/>
  </r>
  <r>
    <x v="353"/>
    <x v="353"/>
    <x v="18"/>
    <x v="1"/>
    <x v="1"/>
    <x v="5"/>
    <x v="1"/>
    <x v="229"/>
    <x v="183"/>
    <x v="3"/>
    <x v="7"/>
    <x v="353"/>
    <x v="350"/>
    <x v="350"/>
    <x v="353"/>
    <x v="0"/>
    <x v="1"/>
    <x v="3"/>
  </r>
  <r>
    <x v="354"/>
    <x v="354"/>
    <x v="36"/>
    <x v="1"/>
    <x v="2"/>
    <x v="3"/>
    <x v="2"/>
    <x v="230"/>
    <x v="54"/>
    <x v="1"/>
    <x v="3"/>
    <x v="354"/>
    <x v="351"/>
    <x v="351"/>
    <x v="354"/>
    <x v="1"/>
    <x v="1"/>
    <x v="1"/>
  </r>
  <r>
    <x v="355"/>
    <x v="355"/>
    <x v="71"/>
    <x v="1"/>
    <x v="5"/>
    <x v="2"/>
    <x v="2"/>
    <x v="231"/>
    <x v="112"/>
    <x v="1"/>
    <x v="11"/>
    <x v="355"/>
    <x v="352"/>
    <x v="352"/>
    <x v="355"/>
    <x v="1"/>
    <x v="4"/>
    <x v="3"/>
  </r>
  <r>
    <x v="356"/>
    <x v="356"/>
    <x v="51"/>
    <x v="1"/>
    <x v="4"/>
    <x v="3"/>
    <x v="0"/>
    <x v="232"/>
    <x v="229"/>
    <x v="1"/>
    <x v="16"/>
    <x v="356"/>
    <x v="353"/>
    <x v="353"/>
    <x v="356"/>
    <x v="2"/>
    <x v="3"/>
    <x v="0"/>
  </r>
  <r>
    <x v="357"/>
    <x v="357"/>
    <x v="32"/>
    <x v="1"/>
    <x v="1"/>
    <x v="3"/>
    <x v="1"/>
    <x v="21"/>
    <x v="93"/>
    <x v="1"/>
    <x v="15"/>
    <x v="357"/>
    <x v="354"/>
    <x v="354"/>
    <x v="357"/>
    <x v="2"/>
    <x v="1"/>
    <x v="1"/>
  </r>
  <r>
    <x v="358"/>
    <x v="358"/>
    <x v="24"/>
    <x v="1"/>
    <x v="1"/>
    <x v="5"/>
    <x v="0"/>
    <x v="131"/>
    <x v="230"/>
    <x v="1"/>
    <x v="16"/>
    <x v="358"/>
    <x v="355"/>
    <x v="355"/>
    <x v="358"/>
    <x v="0"/>
    <x v="1"/>
    <x v="1"/>
  </r>
  <r>
    <x v="359"/>
    <x v="359"/>
    <x v="55"/>
    <x v="0"/>
    <x v="0"/>
    <x v="0"/>
    <x v="0"/>
    <x v="29"/>
    <x v="99"/>
    <x v="3"/>
    <x v="17"/>
    <x v="359"/>
    <x v="356"/>
    <x v="356"/>
    <x v="359"/>
    <x v="1"/>
    <x v="1"/>
    <x v="2"/>
  </r>
  <r>
    <x v="360"/>
    <x v="360"/>
    <x v="45"/>
    <x v="0"/>
    <x v="2"/>
    <x v="1"/>
    <x v="2"/>
    <x v="233"/>
    <x v="220"/>
    <x v="3"/>
    <x v="5"/>
    <x v="360"/>
    <x v="357"/>
    <x v="357"/>
    <x v="360"/>
    <x v="2"/>
    <x v="2"/>
    <x v="0"/>
  </r>
  <r>
    <x v="361"/>
    <x v="361"/>
    <x v="86"/>
    <x v="1"/>
    <x v="5"/>
    <x v="1"/>
    <x v="2"/>
    <x v="234"/>
    <x v="78"/>
    <x v="2"/>
    <x v="5"/>
    <x v="361"/>
    <x v="358"/>
    <x v="358"/>
    <x v="361"/>
    <x v="2"/>
    <x v="4"/>
    <x v="0"/>
  </r>
  <r>
    <x v="362"/>
    <x v="362"/>
    <x v="9"/>
    <x v="1"/>
    <x v="3"/>
    <x v="2"/>
    <x v="0"/>
    <x v="23"/>
    <x v="40"/>
    <x v="2"/>
    <x v="2"/>
    <x v="362"/>
    <x v="359"/>
    <x v="359"/>
    <x v="362"/>
    <x v="1"/>
    <x v="2"/>
    <x v="2"/>
  </r>
  <r>
    <x v="363"/>
    <x v="363"/>
    <x v="72"/>
    <x v="1"/>
    <x v="0"/>
    <x v="2"/>
    <x v="1"/>
    <x v="235"/>
    <x v="57"/>
    <x v="0"/>
    <x v="6"/>
    <x v="363"/>
    <x v="360"/>
    <x v="360"/>
    <x v="363"/>
    <x v="0"/>
    <x v="4"/>
    <x v="2"/>
  </r>
  <r>
    <x v="364"/>
    <x v="364"/>
    <x v="17"/>
    <x v="0"/>
    <x v="4"/>
    <x v="1"/>
    <x v="2"/>
    <x v="236"/>
    <x v="231"/>
    <x v="2"/>
    <x v="18"/>
    <x v="364"/>
    <x v="361"/>
    <x v="361"/>
    <x v="364"/>
    <x v="0"/>
    <x v="1"/>
    <x v="3"/>
  </r>
  <r>
    <x v="365"/>
    <x v="365"/>
    <x v="30"/>
    <x v="0"/>
    <x v="4"/>
    <x v="0"/>
    <x v="1"/>
    <x v="84"/>
    <x v="232"/>
    <x v="2"/>
    <x v="13"/>
    <x v="365"/>
    <x v="362"/>
    <x v="362"/>
    <x v="365"/>
    <x v="1"/>
    <x v="3"/>
    <x v="3"/>
  </r>
  <r>
    <x v="366"/>
    <x v="366"/>
    <x v="75"/>
    <x v="0"/>
    <x v="0"/>
    <x v="1"/>
    <x v="1"/>
    <x v="98"/>
    <x v="156"/>
    <x v="1"/>
    <x v="14"/>
    <x v="366"/>
    <x v="363"/>
    <x v="363"/>
    <x v="366"/>
    <x v="0"/>
    <x v="0"/>
    <x v="1"/>
  </r>
  <r>
    <x v="367"/>
    <x v="367"/>
    <x v="44"/>
    <x v="0"/>
    <x v="1"/>
    <x v="0"/>
    <x v="0"/>
    <x v="134"/>
    <x v="233"/>
    <x v="1"/>
    <x v="18"/>
    <x v="367"/>
    <x v="364"/>
    <x v="364"/>
    <x v="367"/>
    <x v="2"/>
    <x v="0"/>
    <x v="1"/>
  </r>
  <r>
    <x v="368"/>
    <x v="368"/>
    <x v="58"/>
    <x v="0"/>
    <x v="4"/>
    <x v="2"/>
    <x v="0"/>
    <x v="191"/>
    <x v="123"/>
    <x v="2"/>
    <x v="6"/>
    <x v="368"/>
    <x v="365"/>
    <x v="365"/>
    <x v="368"/>
    <x v="1"/>
    <x v="1"/>
    <x v="1"/>
  </r>
  <r>
    <x v="369"/>
    <x v="369"/>
    <x v="83"/>
    <x v="0"/>
    <x v="2"/>
    <x v="4"/>
    <x v="0"/>
    <x v="20"/>
    <x v="159"/>
    <x v="0"/>
    <x v="3"/>
    <x v="369"/>
    <x v="366"/>
    <x v="366"/>
    <x v="369"/>
    <x v="2"/>
    <x v="2"/>
    <x v="1"/>
  </r>
  <r>
    <x v="370"/>
    <x v="370"/>
    <x v="59"/>
    <x v="0"/>
    <x v="5"/>
    <x v="5"/>
    <x v="0"/>
    <x v="237"/>
    <x v="134"/>
    <x v="1"/>
    <x v="2"/>
    <x v="370"/>
    <x v="367"/>
    <x v="367"/>
    <x v="370"/>
    <x v="3"/>
    <x v="3"/>
    <x v="3"/>
  </r>
  <r>
    <x v="371"/>
    <x v="371"/>
    <x v="40"/>
    <x v="0"/>
    <x v="2"/>
    <x v="2"/>
    <x v="2"/>
    <x v="238"/>
    <x v="2"/>
    <x v="2"/>
    <x v="9"/>
    <x v="371"/>
    <x v="368"/>
    <x v="368"/>
    <x v="371"/>
    <x v="3"/>
    <x v="4"/>
    <x v="0"/>
  </r>
  <r>
    <x v="372"/>
    <x v="372"/>
    <x v="82"/>
    <x v="0"/>
    <x v="4"/>
    <x v="2"/>
    <x v="2"/>
    <x v="22"/>
    <x v="133"/>
    <x v="2"/>
    <x v="1"/>
    <x v="372"/>
    <x v="369"/>
    <x v="369"/>
    <x v="372"/>
    <x v="0"/>
    <x v="1"/>
    <x v="1"/>
  </r>
  <r>
    <x v="373"/>
    <x v="373"/>
    <x v="35"/>
    <x v="1"/>
    <x v="3"/>
    <x v="3"/>
    <x v="0"/>
    <x v="239"/>
    <x v="234"/>
    <x v="3"/>
    <x v="2"/>
    <x v="373"/>
    <x v="370"/>
    <x v="370"/>
    <x v="373"/>
    <x v="3"/>
    <x v="3"/>
    <x v="0"/>
  </r>
  <r>
    <x v="374"/>
    <x v="374"/>
    <x v="19"/>
    <x v="1"/>
    <x v="5"/>
    <x v="3"/>
    <x v="2"/>
    <x v="163"/>
    <x v="235"/>
    <x v="0"/>
    <x v="18"/>
    <x v="374"/>
    <x v="371"/>
    <x v="371"/>
    <x v="374"/>
    <x v="2"/>
    <x v="3"/>
    <x v="1"/>
  </r>
  <r>
    <x v="375"/>
    <x v="375"/>
    <x v="6"/>
    <x v="1"/>
    <x v="5"/>
    <x v="3"/>
    <x v="0"/>
    <x v="33"/>
    <x v="231"/>
    <x v="3"/>
    <x v="9"/>
    <x v="375"/>
    <x v="372"/>
    <x v="372"/>
    <x v="375"/>
    <x v="3"/>
    <x v="4"/>
    <x v="2"/>
  </r>
  <r>
    <x v="376"/>
    <x v="376"/>
    <x v="1"/>
    <x v="1"/>
    <x v="0"/>
    <x v="5"/>
    <x v="1"/>
    <x v="187"/>
    <x v="236"/>
    <x v="0"/>
    <x v="0"/>
    <x v="376"/>
    <x v="373"/>
    <x v="373"/>
    <x v="376"/>
    <x v="2"/>
    <x v="3"/>
    <x v="1"/>
  </r>
  <r>
    <x v="377"/>
    <x v="377"/>
    <x v="74"/>
    <x v="0"/>
    <x v="0"/>
    <x v="3"/>
    <x v="1"/>
    <x v="21"/>
    <x v="166"/>
    <x v="1"/>
    <x v="7"/>
    <x v="377"/>
    <x v="374"/>
    <x v="374"/>
    <x v="377"/>
    <x v="0"/>
    <x v="2"/>
    <x v="1"/>
  </r>
  <r>
    <x v="378"/>
    <x v="378"/>
    <x v="73"/>
    <x v="0"/>
    <x v="3"/>
    <x v="0"/>
    <x v="1"/>
    <x v="28"/>
    <x v="237"/>
    <x v="0"/>
    <x v="13"/>
    <x v="378"/>
    <x v="375"/>
    <x v="375"/>
    <x v="378"/>
    <x v="0"/>
    <x v="2"/>
    <x v="1"/>
  </r>
  <r>
    <x v="379"/>
    <x v="379"/>
    <x v="6"/>
    <x v="1"/>
    <x v="1"/>
    <x v="1"/>
    <x v="0"/>
    <x v="221"/>
    <x v="238"/>
    <x v="2"/>
    <x v="11"/>
    <x v="379"/>
    <x v="376"/>
    <x v="376"/>
    <x v="379"/>
    <x v="2"/>
    <x v="2"/>
    <x v="3"/>
  </r>
  <r>
    <x v="380"/>
    <x v="380"/>
    <x v="48"/>
    <x v="0"/>
    <x v="5"/>
    <x v="4"/>
    <x v="1"/>
    <x v="190"/>
    <x v="239"/>
    <x v="2"/>
    <x v="12"/>
    <x v="380"/>
    <x v="377"/>
    <x v="377"/>
    <x v="380"/>
    <x v="3"/>
    <x v="3"/>
    <x v="2"/>
  </r>
  <r>
    <x v="381"/>
    <x v="381"/>
    <x v="67"/>
    <x v="1"/>
    <x v="3"/>
    <x v="2"/>
    <x v="2"/>
    <x v="237"/>
    <x v="240"/>
    <x v="0"/>
    <x v="13"/>
    <x v="381"/>
    <x v="378"/>
    <x v="378"/>
    <x v="381"/>
    <x v="0"/>
    <x v="2"/>
    <x v="1"/>
  </r>
  <r>
    <x v="382"/>
    <x v="382"/>
    <x v="28"/>
    <x v="0"/>
    <x v="0"/>
    <x v="0"/>
    <x v="1"/>
    <x v="2"/>
    <x v="194"/>
    <x v="0"/>
    <x v="1"/>
    <x v="382"/>
    <x v="379"/>
    <x v="379"/>
    <x v="382"/>
    <x v="1"/>
    <x v="4"/>
    <x v="1"/>
  </r>
  <r>
    <x v="383"/>
    <x v="383"/>
    <x v="86"/>
    <x v="1"/>
    <x v="0"/>
    <x v="4"/>
    <x v="1"/>
    <x v="166"/>
    <x v="241"/>
    <x v="0"/>
    <x v="3"/>
    <x v="383"/>
    <x v="380"/>
    <x v="380"/>
    <x v="383"/>
    <x v="0"/>
    <x v="3"/>
    <x v="0"/>
  </r>
  <r>
    <x v="384"/>
    <x v="384"/>
    <x v="20"/>
    <x v="0"/>
    <x v="5"/>
    <x v="0"/>
    <x v="1"/>
    <x v="218"/>
    <x v="2"/>
    <x v="3"/>
    <x v="17"/>
    <x v="384"/>
    <x v="381"/>
    <x v="381"/>
    <x v="384"/>
    <x v="3"/>
    <x v="0"/>
    <x v="2"/>
  </r>
  <r>
    <x v="385"/>
    <x v="385"/>
    <x v="48"/>
    <x v="0"/>
    <x v="2"/>
    <x v="0"/>
    <x v="2"/>
    <x v="37"/>
    <x v="176"/>
    <x v="0"/>
    <x v="17"/>
    <x v="385"/>
    <x v="382"/>
    <x v="382"/>
    <x v="385"/>
    <x v="1"/>
    <x v="3"/>
    <x v="1"/>
  </r>
  <r>
    <x v="386"/>
    <x v="386"/>
    <x v="26"/>
    <x v="1"/>
    <x v="4"/>
    <x v="2"/>
    <x v="0"/>
    <x v="138"/>
    <x v="90"/>
    <x v="1"/>
    <x v="12"/>
    <x v="386"/>
    <x v="383"/>
    <x v="383"/>
    <x v="386"/>
    <x v="3"/>
    <x v="4"/>
    <x v="0"/>
  </r>
  <r>
    <x v="387"/>
    <x v="387"/>
    <x v="11"/>
    <x v="0"/>
    <x v="0"/>
    <x v="1"/>
    <x v="2"/>
    <x v="47"/>
    <x v="135"/>
    <x v="3"/>
    <x v="18"/>
    <x v="387"/>
    <x v="384"/>
    <x v="384"/>
    <x v="387"/>
    <x v="2"/>
    <x v="0"/>
    <x v="0"/>
  </r>
  <r>
    <x v="388"/>
    <x v="388"/>
    <x v="20"/>
    <x v="1"/>
    <x v="1"/>
    <x v="3"/>
    <x v="0"/>
    <x v="153"/>
    <x v="46"/>
    <x v="3"/>
    <x v="15"/>
    <x v="388"/>
    <x v="385"/>
    <x v="385"/>
    <x v="388"/>
    <x v="1"/>
    <x v="3"/>
    <x v="3"/>
  </r>
  <r>
    <x v="389"/>
    <x v="389"/>
    <x v="20"/>
    <x v="1"/>
    <x v="1"/>
    <x v="5"/>
    <x v="0"/>
    <x v="144"/>
    <x v="197"/>
    <x v="0"/>
    <x v="6"/>
    <x v="389"/>
    <x v="386"/>
    <x v="386"/>
    <x v="389"/>
    <x v="3"/>
    <x v="2"/>
    <x v="0"/>
  </r>
  <r>
    <x v="390"/>
    <x v="390"/>
    <x v="67"/>
    <x v="1"/>
    <x v="0"/>
    <x v="1"/>
    <x v="1"/>
    <x v="135"/>
    <x v="242"/>
    <x v="1"/>
    <x v="2"/>
    <x v="390"/>
    <x v="387"/>
    <x v="387"/>
    <x v="390"/>
    <x v="1"/>
    <x v="1"/>
    <x v="1"/>
  </r>
  <r>
    <x v="391"/>
    <x v="391"/>
    <x v="22"/>
    <x v="1"/>
    <x v="2"/>
    <x v="5"/>
    <x v="0"/>
    <x v="240"/>
    <x v="101"/>
    <x v="3"/>
    <x v="8"/>
    <x v="391"/>
    <x v="151"/>
    <x v="388"/>
    <x v="391"/>
    <x v="3"/>
    <x v="1"/>
    <x v="3"/>
  </r>
  <r>
    <x v="392"/>
    <x v="392"/>
    <x v="0"/>
    <x v="0"/>
    <x v="2"/>
    <x v="2"/>
    <x v="2"/>
    <x v="241"/>
    <x v="25"/>
    <x v="2"/>
    <x v="12"/>
    <x v="392"/>
    <x v="388"/>
    <x v="389"/>
    <x v="392"/>
    <x v="1"/>
    <x v="2"/>
    <x v="3"/>
  </r>
  <r>
    <x v="393"/>
    <x v="393"/>
    <x v="24"/>
    <x v="0"/>
    <x v="3"/>
    <x v="2"/>
    <x v="2"/>
    <x v="142"/>
    <x v="140"/>
    <x v="3"/>
    <x v="15"/>
    <x v="393"/>
    <x v="389"/>
    <x v="390"/>
    <x v="393"/>
    <x v="3"/>
    <x v="1"/>
    <x v="1"/>
  </r>
  <r>
    <x v="394"/>
    <x v="394"/>
    <x v="76"/>
    <x v="0"/>
    <x v="1"/>
    <x v="2"/>
    <x v="0"/>
    <x v="242"/>
    <x v="243"/>
    <x v="0"/>
    <x v="2"/>
    <x v="394"/>
    <x v="390"/>
    <x v="391"/>
    <x v="394"/>
    <x v="2"/>
    <x v="1"/>
    <x v="2"/>
  </r>
  <r>
    <x v="395"/>
    <x v="395"/>
    <x v="1"/>
    <x v="1"/>
    <x v="3"/>
    <x v="4"/>
    <x v="1"/>
    <x v="18"/>
    <x v="230"/>
    <x v="1"/>
    <x v="6"/>
    <x v="395"/>
    <x v="391"/>
    <x v="392"/>
    <x v="395"/>
    <x v="1"/>
    <x v="2"/>
    <x v="0"/>
  </r>
  <r>
    <x v="396"/>
    <x v="396"/>
    <x v="47"/>
    <x v="0"/>
    <x v="1"/>
    <x v="5"/>
    <x v="1"/>
    <x v="0"/>
    <x v="215"/>
    <x v="0"/>
    <x v="11"/>
    <x v="396"/>
    <x v="392"/>
    <x v="393"/>
    <x v="396"/>
    <x v="1"/>
    <x v="2"/>
    <x v="3"/>
  </r>
  <r>
    <x v="397"/>
    <x v="397"/>
    <x v="17"/>
    <x v="1"/>
    <x v="4"/>
    <x v="1"/>
    <x v="2"/>
    <x v="74"/>
    <x v="122"/>
    <x v="2"/>
    <x v="13"/>
    <x v="397"/>
    <x v="393"/>
    <x v="394"/>
    <x v="397"/>
    <x v="1"/>
    <x v="3"/>
    <x v="2"/>
  </r>
  <r>
    <x v="398"/>
    <x v="398"/>
    <x v="40"/>
    <x v="0"/>
    <x v="4"/>
    <x v="1"/>
    <x v="1"/>
    <x v="16"/>
    <x v="226"/>
    <x v="2"/>
    <x v="7"/>
    <x v="398"/>
    <x v="394"/>
    <x v="395"/>
    <x v="398"/>
    <x v="1"/>
    <x v="3"/>
    <x v="1"/>
  </r>
  <r>
    <x v="399"/>
    <x v="399"/>
    <x v="12"/>
    <x v="0"/>
    <x v="5"/>
    <x v="0"/>
    <x v="0"/>
    <x v="103"/>
    <x v="244"/>
    <x v="2"/>
    <x v="4"/>
    <x v="399"/>
    <x v="395"/>
    <x v="396"/>
    <x v="399"/>
    <x v="2"/>
    <x v="2"/>
    <x v="0"/>
  </r>
  <r>
    <x v="400"/>
    <x v="400"/>
    <x v="17"/>
    <x v="0"/>
    <x v="3"/>
    <x v="0"/>
    <x v="0"/>
    <x v="243"/>
    <x v="115"/>
    <x v="0"/>
    <x v="13"/>
    <x v="400"/>
    <x v="396"/>
    <x v="397"/>
    <x v="400"/>
    <x v="1"/>
    <x v="4"/>
    <x v="0"/>
  </r>
  <r>
    <x v="401"/>
    <x v="401"/>
    <x v="62"/>
    <x v="1"/>
    <x v="0"/>
    <x v="0"/>
    <x v="2"/>
    <x v="244"/>
    <x v="53"/>
    <x v="3"/>
    <x v="16"/>
    <x v="401"/>
    <x v="397"/>
    <x v="398"/>
    <x v="401"/>
    <x v="0"/>
    <x v="1"/>
    <x v="3"/>
  </r>
  <r>
    <x v="402"/>
    <x v="402"/>
    <x v="79"/>
    <x v="0"/>
    <x v="3"/>
    <x v="2"/>
    <x v="0"/>
    <x v="194"/>
    <x v="132"/>
    <x v="0"/>
    <x v="15"/>
    <x v="402"/>
    <x v="398"/>
    <x v="399"/>
    <x v="402"/>
    <x v="2"/>
    <x v="3"/>
    <x v="0"/>
  </r>
  <r>
    <x v="403"/>
    <x v="403"/>
    <x v="46"/>
    <x v="0"/>
    <x v="0"/>
    <x v="1"/>
    <x v="2"/>
    <x v="245"/>
    <x v="213"/>
    <x v="1"/>
    <x v="5"/>
    <x v="403"/>
    <x v="399"/>
    <x v="400"/>
    <x v="403"/>
    <x v="0"/>
    <x v="1"/>
    <x v="0"/>
  </r>
  <r>
    <x v="404"/>
    <x v="404"/>
    <x v="27"/>
    <x v="1"/>
    <x v="2"/>
    <x v="5"/>
    <x v="0"/>
    <x v="246"/>
    <x v="238"/>
    <x v="3"/>
    <x v="16"/>
    <x v="404"/>
    <x v="400"/>
    <x v="401"/>
    <x v="404"/>
    <x v="1"/>
    <x v="0"/>
    <x v="0"/>
  </r>
  <r>
    <x v="405"/>
    <x v="405"/>
    <x v="29"/>
    <x v="0"/>
    <x v="3"/>
    <x v="2"/>
    <x v="2"/>
    <x v="184"/>
    <x v="245"/>
    <x v="2"/>
    <x v="6"/>
    <x v="405"/>
    <x v="401"/>
    <x v="402"/>
    <x v="405"/>
    <x v="3"/>
    <x v="2"/>
    <x v="0"/>
  </r>
  <r>
    <x v="406"/>
    <x v="406"/>
    <x v="52"/>
    <x v="1"/>
    <x v="2"/>
    <x v="4"/>
    <x v="1"/>
    <x v="62"/>
    <x v="246"/>
    <x v="0"/>
    <x v="2"/>
    <x v="406"/>
    <x v="402"/>
    <x v="403"/>
    <x v="406"/>
    <x v="0"/>
    <x v="4"/>
    <x v="1"/>
  </r>
  <r>
    <x v="407"/>
    <x v="407"/>
    <x v="0"/>
    <x v="0"/>
    <x v="4"/>
    <x v="0"/>
    <x v="0"/>
    <x v="238"/>
    <x v="247"/>
    <x v="2"/>
    <x v="17"/>
    <x v="407"/>
    <x v="403"/>
    <x v="404"/>
    <x v="407"/>
    <x v="1"/>
    <x v="0"/>
    <x v="2"/>
  </r>
  <r>
    <x v="408"/>
    <x v="408"/>
    <x v="82"/>
    <x v="1"/>
    <x v="4"/>
    <x v="2"/>
    <x v="0"/>
    <x v="247"/>
    <x v="248"/>
    <x v="2"/>
    <x v="16"/>
    <x v="408"/>
    <x v="404"/>
    <x v="405"/>
    <x v="408"/>
    <x v="0"/>
    <x v="0"/>
    <x v="1"/>
  </r>
  <r>
    <x v="409"/>
    <x v="409"/>
    <x v="72"/>
    <x v="1"/>
    <x v="5"/>
    <x v="2"/>
    <x v="2"/>
    <x v="191"/>
    <x v="249"/>
    <x v="1"/>
    <x v="3"/>
    <x v="409"/>
    <x v="405"/>
    <x v="406"/>
    <x v="409"/>
    <x v="1"/>
    <x v="0"/>
    <x v="1"/>
  </r>
  <r>
    <x v="410"/>
    <x v="410"/>
    <x v="14"/>
    <x v="0"/>
    <x v="3"/>
    <x v="4"/>
    <x v="2"/>
    <x v="247"/>
    <x v="83"/>
    <x v="3"/>
    <x v="0"/>
    <x v="410"/>
    <x v="406"/>
    <x v="407"/>
    <x v="410"/>
    <x v="1"/>
    <x v="2"/>
    <x v="3"/>
  </r>
  <r>
    <x v="411"/>
    <x v="411"/>
    <x v="78"/>
    <x v="1"/>
    <x v="2"/>
    <x v="3"/>
    <x v="0"/>
    <x v="103"/>
    <x v="14"/>
    <x v="1"/>
    <x v="16"/>
    <x v="411"/>
    <x v="407"/>
    <x v="408"/>
    <x v="411"/>
    <x v="1"/>
    <x v="3"/>
    <x v="0"/>
  </r>
  <r>
    <x v="412"/>
    <x v="412"/>
    <x v="80"/>
    <x v="1"/>
    <x v="0"/>
    <x v="1"/>
    <x v="2"/>
    <x v="248"/>
    <x v="101"/>
    <x v="1"/>
    <x v="1"/>
    <x v="412"/>
    <x v="408"/>
    <x v="409"/>
    <x v="412"/>
    <x v="3"/>
    <x v="2"/>
    <x v="1"/>
  </r>
  <r>
    <x v="413"/>
    <x v="413"/>
    <x v="48"/>
    <x v="1"/>
    <x v="4"/>
    <x v="5"/>
    <x v="0"/>
    <x v="155"/>
    <x v="199"/>
    <x v="1"/>
    <x v="1"/>
    <x v="413"/>
    <x v="409"/>
    <x v="410"/>
    <x v="413"/>
    <x v="0"/>
    <x v="3"/>
    <x v="0"/>
  </r>
  <r>
    <x v="414"/>
    <x v="414"/>
    <x v="78"/>
    <x v="1"/>
    <x v="4"/>
    <x v="3"/>
    <x v="1"/>
    <x v="56"/>
    <x v="36"/>
    <x v="2"/>
    <x v="9"/>
    <x v="414"/>
    <x v="410"/>
    <x v="411"/>
    <x v="414"/>
    <x v="2"/>
    <x v="0"/>
    <x v="1"/>
  </r>
  <r>
    <x v="415"/>
    <x v="415"/>
    <x v="20"/>
    <x v="1"/>
    <x v="0"/>
    <x v="0"/>
    <x v="2"/>
    <x v="249"/>
    <x v="250"/>
    <x v="1"/>
    <x v="11"/>
    <x v="415"/>
    <x v="411"/>
    <x v="412"/>
    <x v="415"/>
    <x v="2"/>
    <x v="0"/>
    <x v="1"/>
  </r>
  <r>
    <x v="416"/>
    <x v="416"/>
    <x v="29"/>
    <x v="1"/>
    <x v="2"/>
    <x v="2"/>
    <x v="0"/>
    <x v="140"/>
    <x v="161"/>
    <x v="1"/>
    <x v="0"/>
    <x v="416"/>
    <x v="412"/>
    <x v="413"/>
    <x v="416"/>
    <x v="2"/>
    <x v="4"/>
    <x v="3"/>
  </r>
  <r>
    <x v="417"/>
    <x v="417"/>
    <x v="26"/>
    <x v="0"/>
    <x v="2"/>
    <x v="4"/>
    <x v="1"/>
    <x v="86"/>
    <x v="191"/>
    <x v="3"/>
    <x v="10"/>
    <x v="417"/>
    <x v="413"/>
    <x v="414"/>
    <x v="417"/>
    <x v="2"/>
    <x v="3"/>
    <x v="2"/>
  </r>
  <r>
    <x v="418"/>
    <x v="418"/>
    <x v="65"/>
    <x v="1"/>
    <x v="3"/>
    <x v="4"/>
    <x v="1"/>
    <x v="126"/>
    <x v="230"/>
    <x v="3"/>
    <x v="1"/>
    <x v="418"/>
    <x v="414"/>
    <x v="415"/>
    <x v="418"/>
    <x v="1"/>
    <x v="0"/>
    <x v="2"/>
  </r>
  <r>
    <x v="419"/>
    <x v="419"/>
    <x v="36"/>
    <x v="1"/>
    <x v="3"/>
    <x v="1"/>
    <x v="0"/>
    <x v="250"/>
    <x v="251"/>
    <x v="1"/>
    <x v="0"/>
    <x v="419"/>
    <x v="415"/>
    <x v="416"/>
    <x v="419"/>
    <x v="0"/>
    <x v="1"/>
    <x v="1"/>
  </r>
  <r>
    <x v="420"/>
    <x v="420"/>
    <x v="64"/>
    <x v="0"/>
    <x v="1"/>
    <x v="3"/>
    <x v="2"/>
    <x v="41"/>
    <x v="138"/>
    <x v="3"/>
    <x v="2"/>
    <x v="420"/>
    <x v="416"/>
    <x v="417"/>
    <x v="420"/>
    <x v="0"/>
    <x v="4"/>
    <x v="3"/>
  </r>
  <r>
    <x v="421"/>
    <x v="421"/>
    <x v="60"/>
    <x v="0"/>
    <x v="1"/>
    <x v="1"/>
    <x v="0"/>
    <x v="122"/>
    <x v="70"/>
    <x v="3"/>
    <x v="16"/>
    <x v="421"/>
    <x v="417"/>
    <x v="418"/>
    <x v="421"/>
    <x v="3"/>
    <x v="2"/>
    <x v="0"/>
  </r>
  <r>
    <x v="422"/>
    <x v="422"/>
    <x v="20"/>
    <x v="0"/>
    <x v="5"/>
    <x v="2"/>
    <x v="1"/>
    <x v="149"/>
    <x v="128"/>
    <x v="1"/>
    <x v="6"/>
    <x v="422"/>
    <x v="418"/>
    <x v="419"/>
    <x v="422"/>
    <x v="0"/>
    <x v="4"/>
    <x v="0"/>
  </r>
  <r>
    <x v="423"/>
    <x v="423"/>
    <x v="60"/>
    <x v="0"/>
    <x v="4"/>
    <x v="1"/>
    <x v="0"/>
    <x v="251"/>
    <x v="114"/>
    <x v="2"/>
    <x v="13"/>
    <x v="423"/>
    <x v="419"/>
    <x v="420"/>
    <x v="423"/>
    <x v="0"/>
    <x v="1"/>
    <x v="1"/>
  </r>
  <r>
    <x v="424"/>
    <x v="424"/>
    <x v="49"/>
    <x v="0"/>
    <x v="3"/>
    <x v="5"/>
    <x v="2"/>
    <x v="103"/>
    <x v="252"/>
    <x v="1"/>
    <x v="12"/>
    <x v="424"/>
    <x v="420"/>
    <x v="421"/>
    <x v="424"/>
    <x v="0"/>
    <x v="3"/>
    <x v="2"/>
  </r>
  <r>
    <x v="425"/>
    <x v="425"/>
    <x v="51"/>
    <x v="0"/>
    <x v="2"/>
    <x v="4"/>
    <x v="1"/>
    <x v="125"/>
    <x v="143"/>
    <x v="3"/>
    <x v="0"/>
    <x v="425"/>
    <x v="421"/>
    <x v="422"/>
    <x v="425"/>
    <x v="3"/>
    <x v="2"/>
    <x v="3"/>
  </r>
  <r>
    <x v="426"/>
    <x v="426"/>
    <x v="21"/>
    <x v="0"/>
    <x v="0"/>
    <x v="4"/>
    <x v="0"/>
    <x v="199"/>
    <x v="81"/>
    <x v="2"/>
    <x v="14"/>
    <x v="426"/>
    <x v="422"/>
    <x v="423"/>
    <x v="426"/>
    <x v="2"/>
    <x v="2"/>
    <x v="2"/>
  </r>
  <r>
    <x v="427"/>
    <x v="427"/>
    <x v="60"/>
    <x v="1"/>
    <x v="2"/>
    <x v="0"/>
    <x v="2"/>
    <x v="252"/>
    <x v="134"/>
    <x v="0"/>
    <x v="15"/>
    <x v="427"/>
    <x v="423"/>
    <x v="424"/>
    <x v="427"/>
    <x v="0"/>
    <x v="3"/>
    <x v="0"/>
  </r>
  <r>
    <x v="428"/>
    <x v="428"/>
    <x v="82"/>
    <x v="1"/>
    <x v="4"/>
    <x v="0"/>
    <x v="1"/>
    <x v="253"/>
    <x v="128"/>
    <x v="2"/>
    <x v="2"/>
    <x v="428"/>
    <x v="424"/>
    <x v="425"/>
    <x v="428"/>
    <x v="3"/>
    <x v="4"/>
    <x v="2"/>
  </r>
  <r>
    <x v="429"/>
    <x v="429"/>
    <x v="3"/>
    <x v="0"/>
    <x v="1"/>
    <x v="2"/>
    <x v="2"/>
    <x v="128"/>
    <x v="71"/>
    <x v="3"/>
    <x v="0"/>
    <x v="429"/>
    <x v="425"/>
    <x v="426"/>
    <x v="429"/>
    <x v="3"/>
    <x v="0"/>
    <x v="0"/>
  </r>
  <r>
    <x v="430"/>
    <x v="430"/>
    <x v="16"/>
    <x v="1"/>
    <x v="2"/>
    <x v="5"/>
    <x v="1"/>
    <x v="74"/>
    <x v="147"/>
    <x v="2"/>
    <x v="11"/>
    <x v="430"/>
    <x v="426"/>
    <x v="427"/>
    <x v="430"/>
    <x v="1"/>
    <x v="4"/>
    <x v="3"/>
  </r>
  <r>
    <x v="431"/>
    <x v="431"/>
    <x v="48"/>
    <x v="1"/>
    <x v="5"/>
    <x v="3"/>
    <x v="0"/>
    <x v="21"/>
    <x v="253"/>
    <x v="1"/>
    <x v="9"/>
    <x v="431"/>
    <x v="427"/>
    <x v="428"/>
    <x v="431"/>
    <x v="3"/>
    <x v="1"/>
    <x v="3"/>
  </r>
  <r>
    <x v="432"/>
    <x v="432"/>
    <x v="81"/>
    <x v="1"/>
    <x v="4"/>
    <x v="1"/>
    <x v="2"/>
    <x v="69"/>
    <x v="254"/>
    <x v="0"/>
    <x v="3"/>
    <x v="432"/>
    <x v="428"/>
    <x v="429"/>
    <x v="432"/>
    <x v="2"/>
    <x v="0"/>
    <x v="1"/>
  </r>
  <r>
    <x v="433"/>
    <x v="433"/>
    <x v="11"/>
    <x v="0"/>
    <x v="1"/>
    <x v="2"/>
    <x v="1"/>
    <x v="134"/>
    <x v="244"/>
    <x v="0"/>
    <x v="6"/>
    <x v="433"/>
    <x v="429"/>
    <x v="54"/>
    <x v="433"/>
    <x v="0"/>
    <x v="4"/>
    <x v="1"/>
  </r>
  <r>
    <x v="434"/>
    <x v="434"/>
    <x v="84"/>
    <x v="0"/>
    <x v="0"/>
    <x v="0"/>
    <x v="2"/>
    <x v="72"/>
    <x v="158"/>
    <x v="0"/>
    <x v="17"/>
    <x v="434"/>
    <x v="430"/>
    <x v="430"/>
    <x v="434"/>
    <x v="3"/>
    <x v="3"/>
    <x v="2"/>
  </r>
  <r>
    <x v="435"/>
    <x v="435"/>
    <x v="19"/>
    <x v="1"/>
    <x v="1"/>
    <x v="1"/>
    <x v="2"/>
    <x v="238"/>
    <x v="255"/>
    <x v="3"/>
    <x v="12"/>
    <x v="435"/>
    <x v="431"/>
    <x v="431"/>
    <x v="435"/>
    <x v="2"/>
    <x v="1"/>
    <x v="3"/>
  </r>
  <r>
    <x v="436"/>
    <x v="436"/>
    <x v="55"/>
    <x v="0"/>
    <x v="5"/>
    <x v="0"/>
    <x v="0"/>
    <x v="17"/>
    <x v="203"/>
    <x v="3"/>
    <x v="14"/>
    <x v="436"/>
    <x v="432"/>
    <x v="432"/>
    <x v="436"/>
    <x v="3"/>
    <x v="1"/>
    <x v="3"/>
  </r>
  <r>
    <x v="437"/>
    <x v="437"/>
    <x v="82"/>
    <x v="1"/>
    <x v="4"/>
    <x v="1"/>
    <x v="2"/>
    <x v="108"/>
    <x v="65"/>
    <x v="0"/>
    <x v="6"/>
    <x v="437"/>
    <x v="433"/>
    <x v="433"/>
    <x v="437"/>
    <x v="3"/>
    <x v="1"/>
    <x v="1"/>
  </r>
  <r>
    <x v="438"/>
    <x v="438"/>
    <x v="28"/>
    <x v="1"/>
    <x v="0"/>
    <x v="3"/>
    <x v="1"/>
    <x v="248"/>
    <x v="256"/>
    <x v="2"/>
    <x v="17"/>
    <x v="438"/>
    <x v="434"/>
    <x v="434"/>
    <x v="438"/>
    <x v="3"/>
    <x v="0"/>
    <x v="0"/>
  </r>
  <r>
    <x v="439"/>
    <x v="439"/>
    <x v="67"/>
    <x v="1"/>
    <x v="5"/>
    <x v="2"/>
    <x v="1"/>
    <x v="254"/>
    <x v="257"/>
    <x v="0"/>
    <x v="0"/>
    <x v="439"/>
    <x v="435"/>
    <x v="435"/>
    <x v="439"/>
    <x v="3"/>
    <x v="2"/>
    <x v="2"/>
  </r>
  <r>
    <x v="440"/>
    <x v="440"/>
    <x v="75"/>
    <x v="1"/>
    <x v="1"/>
    <x v="1"/>
    <x v="1"/>
    <x v="15"/>
    <x v="258"/>
    <x v="2"/>
    <x v="9"/>
    <x v="440"/>
    <x v="436"/>
    <x v="436"/>
    <x v="440"/>
    <x v="3"/>
    <x v="0"/>
    <x v="2"/>
  </r>
  <r>
    <x v="441"/>
    <x v="441"/>
    <x v="57"/>
    <x v="0"/>
    <x v="5"/>
    <x v="5"/>
    <x v="1"/>
    <x v="68"/>
    <x v="259"/>
    <x v="2"/>
    <x v="11"/>
    <x v="441"/>
    <x v="437"/>
    <x v="437"/>
    <x v="441"/>
    <x v="2"/>
    <x v="4"/>
    <x v="1"/>
  </r>
  <r>
    <x v="442"/>
    <x v="442"/>
    <x v="42"/>
    <x v="0"/>
    <x v="4"/>
    <x v="4"/>
    <x v="0"/>
    <x v="255"/>
    <x v="86"/>
    <x v="3"/>
    <x v="11"/>
    <x v="442"/>
    <x v="438"/>
    <x v="438"/>
    <x v="442"/>
    <x v="0"/>
    <x v="2"/>
    <x v="3"/>
  </r>
  <r>
    <x v="443"/>
    <x v="443"/>
    <x v="81"/>
    <x v="0"/>
    <x v="3"/>
    <x v="5"/>
    <x v="2"/>
    <x v="149"/>
    <x v="260"/>
    <x v="2"/>
    <x v="7"/>
    <x v="443"/>
    <x v="439"/>
    <x v="364"/>
    <x v="443"/>
    <x v="0"/>
    <x v="4"/>
    <x v="1"/>
  </r>
  <r>
    <x v="444"/>
    <x v="444"/>
    <x v="27"/>
    <x v="1"/>
    <x v="5"/>
    <x v="5"/>
    <x v="0"/>
    <x v="109"/>
    <x v="171"/>
    <x v="0"/>
    <x v="12"/>
    <x v="444"/>
    <x v="440"/>
    <x v="439"/>
    <x v="444"/>
    <x v="0"/>
    <x v="2"/>
    <x v="1"/>
  </r>
  <r>
    <x v="445"/>
    <x v="445"/>
    <x v="26"/>
    <x v="0"/>
    <x v="5"/>
    <x v="4"/>
    <x v="2"/>
    <x v="256"/>
    <x v="7"/>
    <x v="3"/>
    <x v="12"/>
    <x v="445"/>
    <x v="441"/>
    <x v="440"/>
    <x v="445"/>
    <x v="0"/>
    <x v="0"/>
    <x v="1"/>
  </r>
  <r>
    <x v="446"/>
    <x v="446"/>
    <x v="81"/>
    <x v="1"/>
    <x v="1"/>
    <x v="5"/>
    <x v="2"/>
    <x v="257"/>
    <x v="3"/>
    <x v="1"/>
    <x v="18"/>
    <x v="446"/>
    <x v="442"/>
    <x v="441"/>
    <x v="446"/>
    <x v="2"/>
    <x v="1"/>
    <x v="1"/>
  </r>
  <r>
    <x v="447"/>
    <x v="447"/>
    <x v="19"/>
    <x v="0"/>
    <x v="1"/>
    <x v="1"/>
    <x v="2"/>
    <x v="184"/>
    <x v="123"/>
    <x v="1"/>
    <x v="0"/>
    <x v="447"/>
    <x v="443"/>
    <x v="442"/>
    <x v="447"/>
    <x v="1"/>
    <x v="3"/>
    <x v="0"/>
  </r>
  <r>
    <x v="448"/>
    <x v="448"/>
    <x v="82"/>
    <x v="1"/>
    <x v="0"/>
    <x v="1"/>
    <x v="0"/>
    <x v="180"/>
    <x v="180"/>
    <x v="3"/>
    <x v="0"/>
    <x v="448"/>
    <x v="444"/>
    <x v="443"/>
    <x v="448"/>
    <x v="1"/>
    <x v="1"/>
    <x v="0"/>
  </r>
  <r>
    <x v="449"/>
    <x v="449"/>
    <x v="51"/>
    <x v="1"/>
    <x v="1"/>
    <x v="1"/>
    <x v="2"/>
    <x v="179"/>
    <x v="253"/>
    <x v="0"/>
    <x v="8"/>
    <x v="449"/>
    <x v="445"/>
    <x v="176"/>
    <x v="449"/>
    <x v="2"/>
    <x v="0"/>
    <x v="3"/>
  </r>
  <r>
    <x v="450"/>
    <x v="450"/>
    <x v="53"/>
    <x v="1"/>
    <x v="2"/>
    <x v="4"/>
    <x v="0"/>
    <x v="258"/>
    <x v="84"/>
    <x v="1"/>
    <x v="16"/>
    <x v="450"/>
    <x v="446"/>
    <x v="444"/>
    <x v="450"/>
    <x v="2"/>
    <x v="2"/>
    <x v="1"/>
  </r>
  <r>
    <x v="451"/>
    <x v="451"/>
    <x v="32"/>
    <x v="0"/>
    <x v="4"/>
    <x v="5"/>
    <x v="1"/>
    <x v="23"/>
    <x v="168"/>
    <x v="1"/>
    <x v="6"/>
    <x v="451"/>
    <x v="447"/>
    <x v="445"/>
    <x v="451"/>
    <x v="3"/>
    <x v="1"/>
    <x v="0"/>
  </r>
  <r>
    <x v="452"/>
    <x v="452"/>
    <x v="18"/>
    <x v="0"/>
    <x v="4"/>
    <x v="4"/>
    <x v="1"/>
    <x v="142"/>
    <x v="13"/>
    <x v="2"/>
    <x v="7"/>
    <x v="452"/>
    <x v="448"/>
    <x v="446"/>
    <x v="452"/>
    <x v="3"/>
    <x v="0"/>
    <x v="3"/>
  </r>
  <r>
    <x v="453"/>
    <x v="453"/>
    <x v="65"/>
    <x v="0"/>
    <x v="3"/>
    <x v="1"/>
    <x v="2"/>
    <x v="94"/>
    <x v="17"/>
    <x v="2"/>
    <x v="14"/>
    <x v="453"/>
    <x v="449"/>
    <x v="447"/>
    <x v="453"/>
    <x v="3"/>
    <x v="4"/>
    <x v="1"/>
  </r>
  <r>
    <x v="454"/>
    <x v="454"/>
    <x v="88"/>
    <x v="0"/>
    <x v="3"/>
    <x v="5"/>
    <x v="0"/>
    <x v="259"/>
    <x v="74"/>
    <x v="0"/>
    <x v="0"/>
    <x v="317"/>
    <x v="450"/>
    <x v="448"/>
    <x v="454"/>
    <x v="0"/>
    <x v="3"/>
    <x v="2"/>
  </r>
  <r>
    <x v="455"/>
    <x v="455"/>
    <x v="81"/>
    <x v="1"/>
    <x v="4"/>
    <x v="5"/>
    <x v="1"/>
    <x v="160"/>
    <x v="1"/>
    <x v="3"/>
    <x v="18"/>
    <x v="454"/>
    <x v="451"/>
    <x v="449"/>
    <x v="455"/>
    <x v="3"/>
    <x v="1"/>
    <x v="0"/>
  </r>
  <r>
    <x v="456"/>
    <x v="456"/>
    <x v="49"/>
    <x v="0"/>
    <x v="3"/>
    <x v="0"/>
    <x v="0"/>
    <x v="233"/>
    <x v="9"/>
    <x v="0"/>
    <x v="6"/>
    <x v="455"/>
    <x v="452"/>
    <x v="450"/>
    <x v="456"/>
    <x v="1"/>
    <x v="2"/>
    <x v="3"/>
  </r>
  <r>
    <x v="457"/>
    <x v="457"/>
    <x v="0"/>
    <x v="0"/>
    <x v="0"/>
    <x v="0"/>
    <x v="0"/>
    <x v="97"/>
    <x v="261"/>
    <x v="3"/>
    <x v="2"/>
    <x v="456"/>
    <x v="453"/>
    <x v="451"/>
    <x v="457"/>
    <x v="0"/>
    <x v="4"/>
    <x v="2"/>
  </r>
  <r>
    <x v="458"/>
    <x v="458"/>
    <x v="88"/>
    <x v="1"/>
    <x v="1"/>
    <x v="3"/>
    <x v="2"/>
    <x v="182"/>
    <x v="35"/>
    <x v="1"/>
    <x v="2"/>
    <x v="457"/>
    <x v="454"/>
    <x v="452"/>
    <x v="458"/>
    <x v="3"/>
    <x v="0"/>
    <x v="1"/>
  </r>
  <r>
    <x v="459"/>
    <x v="459"/>
    <x v="78"/>
    <x v="1"/>
    <x v="4"/>
    <x v="2"/>
    <x v="1"/>
    <x v="188"/>
    <x v="52"/>
    <x v="2"/>
    <x v="4"/>
    <x v="458"/>
    <x v="455"/>
    <x v="453"/>
    <x v="459"/>
    <x v="0"/>
    <x v="3"/>
    <x v="1"/>
  </r>
  <r>
    <x v="460"/>
    <x v="460"/>
    <x v="20"/>
    <x v="1"/>
    <x v="3"/>
    <x v="0"/>
    <x v="2"/>
    <x v="137"/>
    <x v="262"/>
    <x v="0"/>
    <x v="0"/>
    <x v="459"/>
    <x v="456"/>
    <x v="454"/>
    <x v="460"/>
    <x v="1"/>
    <x v="2"/>
    <x v="1"/>
  </r>
  <r>
    <x v="461"/>
    <x v="461"/>
    <x v="60"/>
    <x v="0"/>
    <x v="4"/>
    <x v="4"/>
    <x v="2"/>
    <x v="158"/>
    <x v="263"/>
    <x v="0"/>
    <x v="15"/>
    <x v="460"/>
    <x v="457"/>
    <x v="455"/>
    <x v="461"/>
    <x v="3"/>
    <x v="0"/>
    <x v="0"/>
  </r>
  <r>
    <x v="462"/>
    <x v="462"/>
    <x v="81"/>
    <x v="1"/>
    <x v="2"/>
    <x v="0"/>
    <x v="1"/>
    <x v="137"/>
    <x v="172"/>
    <x v="3"/>
    <x v="10"/>
    <x v="461"/>
    <x v="458"/>
    <x v="456"/>
    <x v="462"/>
    <x v="1"/>
    <x v="0"/>
    <x v="3"/>
  </r>
  <r>
    <x v="463"/>
    <x v="463"/>
    <x v="34"/>
    <x v="1"/>
    <x v="5"/>
    <x v="3"/>
    <x v="1"/>
    <x v="104"/>
    <x v="102"/>
    <x v="3"/>
    <x v="18"/>
    <x v="462"/>
    <x v="459"/>
    <x v="457"/>
    <x v="463"/>
    <x v="1"/>
    <x v="1"/>
    <x v="2"/>
  </r>
  <r>
    <x v="464"/>
    <x v="464"/>
    <x v="82"/>
    <x v="1"/>
    <x v="1"/>
    <x v="5"/>
    <x v="0"/>
    <x v="257"/>
    <x v="264"/>
    <x v="0"/>
    <x v="3"/>
    <x v="463"/>
    <x v="460"/>
    <x v="458"/>
    <x v="464"/>
    <x v="1"/>
    <x v="1"/>
    <x v="3"/>
  </r>
  <r>
    <x v="465"/>
    <x v="465"/>
    <x v="9"/>
    <x v="0"/>
    <x v="4"/>
    <x v="3"/>
    <x v="1"/>
    <x v="4"/>
    <x v="72"/>
    <x v="3"/>
    <x v="5"/>
    <x v="464"/>
    <x v="461"/>
    <x v="459"/>
    <x v="465"/>
    <x v="3"/>
    <x v="2"/>
    <x v="0"/>
  </r>
  <r>
    <x v="466"/>
    <x v="466"/>
    <x v="25"/>
    <x v="1"/>
    <x v="5"/>
    <x v="5"/>
    <x v="0"/>
    <x v="158"/>
    <x v="183"/>
    <x v="0"/>
    <x v="14"/>
    <x v="465"/>
    <x v="462"/>
    <x v="460"/>
    <x v="466"/>
    <x v="2"/>
    <x v="0"/>
    <x v="3"/>
  </r>
  <r>
    <x v="467"/>
    <x v="467"/>
    <x v="13"/>
    <x v="0"/>
    <x v="3"/>
    <x v="5"/>
    <x v="0"/>
    <x v="260"/>
    <x v="87"/>
    <x v="0"/>
    <x v="5"/>
    <x v="466"/>
    <x v="463"/>
    <x v="461"/>
    <x v="467"/>
    <x v="3"/>
    <x v="1"/>
    <x v="0"/>
  </r>
  <r>
    <x v="468"/>
    <x v="468"/>
    <x v="73"/>
    <x v="0"/>
    <x v="5"/>
    <x v="2"/>
    <x v="0"/>
    <x v="260"/>
    <x v="102"/>
    <x v="0"/>
    <x v="9"/>
    <x v="467"/>
    <x v="464"/>
    <x v="462"/>
    <x v="468"/>
    <x v="1"/>
    <x v="3"/>
    <x v="1"/>
  </r>
  <r>
    <x v="469"/>
    <x v="469"/>
    <x v="37"/>
    <x v="1"/>
    <x v="1"/>
    <x v="0"/>
    <x v="1"/>
    <x v="11"/>
    <x v="110"/>
    <x v="1"/>
    <x v="2"/>
    <x v="468"/>
    <x v="465"/>
    <x v="463"/>
    <x v="469"/>
    <x v="3"/>
    <x v="3"/>
    <x v="2"/>
  </r>
  <r>
    <x v="470"/>
    <x v="470"/>
    <x v="9"/>
    <x v="1"/>
    <x v="4"/>
    <x v="4"/>
    <x v="2"/>
    <x v="261"/>
    <x v="132"/>
    <x v="3"/>
    <x v="15"/>
    <x v="469"/>
    <x v="466"/>
    <x v="464"/>
    <x v="470"/>
    <x v="1"/>
    <x v="0"/>
    <x v="1"/>
  </r>
  <r>
    <x v="471"/>
    <x v="471"/>
    <x v="64"/>
    <x v="0"/>
    <x v="2"/>
    <x v="4"/>
    <x v="0"/>
    <x v="29"/>
    <x v="104"/>
    <x v="2"/>
    <x v="12"/>
    <x v="470"/>
    <x v="467"/>
    <x v="465"/>
    <x v="471"/>
    <x v="2"/>
    <x v="1"/>
    <x v="3"/>
  </r>
  <r>
    <x v="472"/>
    <x v="472"/>
    <x v="45"/>
    <x v="1"/>
    <x v="3"/>
    <x v="1"/>
    <x v="2"/>
    <x v="262"/>
    <x v="232"/>
    <x v="2"/>
    <x v="14"/>
    <x v="471"/>
    <x v="468"/>
    <x v="466"/>
    <x v="472"/>
    <x v="0"/>
    <x v="2"/>
    <x v="1"/>
  </r>
  <r>
    <x v="473"/>
    <x v="473"/>
    <x v="41"/>
    <x v="1"/>
    <x v="4"/>
    <x v="5"/>
    <x v="2"/>
    <x v="39"/>
    <x v="183"/>
    <x v="3"/>
    <x v="0"/>
    <x v="472"/>
    <x v="469"/>
    <x v="467"/>
    <x v="473"/>
    <x v="2"/>
    <x v="2"/>
    <x v="2"/>
  </r>
  <r>
    <x v="474"/>
    <x v="474"/>
    <x v="18"/>
    <x v="0"/>
    <x v="1"/>
    <x v="4"/>
    <x v="1"/>
    <x v="263"/>
    <x v="202"/>
    <x v="0"/>
    <x v="3"/>
    <x v="473"/>
    <x v="470"/>
    <x v="468"/>
    <x v="474"/>
    <x v="2"/>
    <x v="2"/>
    <x v="1"/>
  </r>
  <r>
    <x v="475"/>
    <x v="475"/>
    <x v="18"/>
    <x v="0"/>
    <x v="3"/>
    <x v="2"/>
    <x v="2"/>
    <x v="122"/>
    <x v="9"/>
    <x v="2"/>
    <x v="15"/>
    <x v="474"/>
    <x v="471"/>
    <x v="469"/>
    <x v="475"/>
    <x v="0"/>
    <x v="3"/>
    <x v="2"/>
  </r>
  <r>
    <x v="476"/>
    <x v="476"/>
    <x v="3"/>
    <x v="1"/>
    <x v="0"/>
    <x v="5"/>
    <x v="2"/>
    <x v="181"/>
    <x v="133"/>
    <x v="2"/>
    <x v="14"/>
    <x v="475"/>
    <x v="472"/>
    <x v="470"/>
    <x v="476"/>
    <x v="3"/>
    <x v="1"/>
    <x v="2"/>
  </r>
  <r>
    <x v="477"/>
    <x v="477"/>
    <x v="28"/>
    <x v="0"/>
    <x v="5"/>
    <x v="2"/>
    <x v="1"/>
    <x v="264"/>
    <x v="215"/>
    <x v="3"/>
    <x v="13"/>
    <x v="476"/>
    <x v="473"/>
    <x v="471"/>
    <x v="477"/>
    <x v="0"/>
    <x v="1"/>
    <x v="1"/>
  </r>
  <r>
    <x v="478"/>
    <x v="478"/>
    <x v="71"/>
    <x v="1"/>
    <x v="1"/>
    <x v="4"/>
    <x v="0"/>
    <x v="265"/>
    <x v="205"/>
    <x v="2"/>
    <x v="16"/>
    <x v="477"/>
    <x v="474"/>
    <x v="472"/>
    <x v="478"/>
    <x v="3"/>
    <x v="3"/>
    <x v="0"/>
  </r>
  <r>
    <x v="479"/>
    <x v="479"/>
    <x v="64"/>
    <x v="1"/>
    <x v="0"/>
    <x v="4"/>
    <x v="2"/>
    <x v="263"/>
    <x v="57"/>
    <x v="0"/>
    <x v="12"/>
    <x v="478"/>
    <x v="475"/>
    <x v="473"/>
    <x v="479"/>
    <x v="3"/>
    <x v="2"/>
    <x v="3"/>
  </r>
  <r>
    <x v="480"/>
    <x v="480"/>
    <x v="84"/>
    <x v="1"/>
    <x v="4"/>
    <x v="1"/>
    <x v="1"/>
    <x v="265"/>
    <x v="212"/>
    <x v="3"/>
    <x v="3"/>
    <x v="479"/>
    <x v="476"/>
    <x v="474"/>
    <x v="480"/>
    <x v="1"/>
    <x v="2"/>
    <x v="0"/>
  </r>
  <r>
    <x v="481"/>
    <x v="481"/>
    <x v="59"/>
    <x v="0"/>
    <x v="2"/>
    <x v="4"/>
    <x v="2"/>
    <x v="196"/>
    <x v="265"/>
    <x v="0"/>
    <x v="7"/>
    <x v="480"/>
    <x v="477"/>
    <x v="475"/>
    <x v="481"/>
    <x v="1"/>
    <x v="0"/>
    <x v="0"/>
  </r>
  <r>
    <x v="482"/>
    <x v="482"/>
    <x v="18"/>
    <x v="1"/>
    <x v="3"/>
    <x v="5"/>
    <x v="2"/>
    <x v="129"/>
    <x v="196"/>
    <x v="2"/>
    <x v="16"/>
    <x v="481"/>
    <x v="478"/>
    <x v="476"/>
    <x v="482"/>
    <x v="0"/>
    <x v="4"/>
    <x v="1"/>
  </r>
  <r>
    <x v="483"/>
    <x v="483"/>
    <x v="52"/>
    <x v="1"/>
    <x v="5"/>
    <x v="5"/>
    <x v="0"/>
    <x v="243"/>
    <x v="119"/>
    <x v="2"/>
    <x v="18"/>
    <x v="482"/>
    <x v="479"/>
    <x v="477"/>
    <x v="483"/>
    <x v="2"/>
    <x v="1"/>
    <x v="3"/>
  </r>
  <r>
    <x v="484"/>
    <x v="484"/>
    <x v="50"/>
    <x v="1"/>
    <x v="3"/>
    <x v="5"/>
    <x v="2"/>
    <x v="126"/>
    <x v="187"/>
    <x v="0"/>
    <x v="15"/>
    <x v="483"/>
    <x v="480"/>
    <x v="478"/>
    <x v="484"/>
    <x v="0"/>
    <x v="1"/>
    <x v="3"/>
  </r>
  <r>
    <x v="485"/>
    <x v="485"/>
    <x v="71"/>
    <x v="0"/>
    <x v="4"/>
    <x v="1"/>
    <x v="1"/>
    <x v="266"/>
    <x v="266"/>
    <x v="1"/>
    <x v="8"/>
    <x v="484"/>
    <x v="171"/>
    <x v="479"/>
    <x v="485"/>
    <x v="3"/>
    <x v="1"/>
    <x v="0"/>
  </r>
  <r>
    <x v="486"/>
    <x v="486"/>
    <x v="39"/>
    <x v="0"/>
    <x v="3"/>
    <x v="1"/>
    <x v="2"/>
    <x v="241"/>
    <x v="242"/>
    <x v="2"/>
    <x v="16"/>
    <x v="485"/>
    <x v="481"/>
    <x v="480"/>
    <x v="486"/>
    <x v="1"/>
    <x v="4"/>
    <x v="1"/>
  </r>
  <r>
    <x v="487"/>
    <x v="487"/>
    <x v="57"/>
    <x v="0"/>
    <x v="5"/>
    <x v="4"/>
    <x v="0"/>
    <x v="267"/>
    <x v="138"/>
    <x v="1"/>
    <x v="10"/>
    <x v="486"/>
    <x v="482"/>
    <x v="481"/>
    <x v="487"/>
    <x v="0"/>
    <x v="0"/>
    <x v="3"/>
  </r>
  <r>
    <x v="488"/>
    <x v="488"/>
    <x v="72"/>
    <x v="0"/>
    <x v="4"/>
    <x v="3"/>
    <x v="0"/>
    <x v="268"/>
    <x v="158"/>
    <x v="2"/>
    <x v="1"/>
    <x v="487"/>
    <x v="483"/>
    <x v="482"/>
    <x v="488"/>
    <x v="0"/>
    <x v="4"/>
    <x v="0"/>
  </r>
  <r>
    <x v="489"/>
    <x v="489"/>
    <x v="64"/>
    <x v="0"/>
    <x v="3"/>
    <x v="3"/>
    <x v="1"/>
    <x v="141"/>
    <x v="134"/>
    <x v="1"/>
    <x v="2"/>
    <x v="488"/>
    <x v="484"/>
    <x v="483"/>
    <x v="489"/>
    <x v="1"/>
    <x v="2"/>
    <x v="3"/>
  </r>
  <r>
    <x v="490"/>
    <x v="490"/>
    <x v="87"/>
    <x v="1"/>
    <x v="2"/>
    <x v="1"/>
    <x v="0"/>
    <x v="226"/>
    <x v="267"/>
    <x v="1"/>
    <x v="8"/>
    <x v="489"/>
    <x v="485"/>
    <x v="484"/>
    <x v="490"/>
    <x v="1"/>
    <x v="2"/>
    <x v="1"/>
  </r>
  <r>
    <x v="491"/>
    <x v="491"/>
    <x v="13"/>
    <x v="0"/>
    <x v="1"/>
    <x v="4"/>
    <x v="2"/>
    <x v="269"/>
    <x v="46"/>
    <x v="1"/>
    <x v="9"/>
    <x v="490"/>
    <x v="486"/>
    <x v="485"/>
    <x v="491"/>
    <x v="1"/>
    <x v="1"/>
    <x v="1"/>
  </r>
  <r>
    <x v="492"/>
    <x v="492"/>
    <x v="41"/>
    <x v="0"/>
    <x v="4"/>
    <x v="3"/>
    <x v="0"/>
    <x v="270"/>
    <x v="13"/>
    <x v="0"/>
    <x v="15"/>
    <x v="491"/>
    <x v="487"/>
    <x v="486"/>
    <x v="492"/>
    <x v="3"/>
    <x v="3"/>
    <x v="1"/>
  </r>
  <r>
    <x v="493"/>
    <x v="493"/>
    <x v="6"/>
    <x v="0"/>
    <x v="1"/>
    <x v="4"/>
    <x v="1"/>
    <x v="158"/>
    <x v="268"/>
    <x v="1"/>
    <x v="13"/>
    <x v="492"/>
    <x v="488"/>
    <x v="487"/>
    <x v="493"/>
    <x v="1"/>
    <x v="1"/>
    <x v="3"/>
  </r>
  <r>
    <x v="494"/>
    <x v="494"/>
    <x v="43"/>
    <x v="1"/>
    <x v="4"/>
    <x v="4"/>
    <x v="0"/>
    <x v="188"/>
    <x v="51"/>
    <x v="1"/>
    <x v="3"/>
    <x v="493"/>
    <x v="489"/>
    <x v="488"/>
    <x v="494"/>
    <x v="2"/>
    <x v="3"/>
    <x v="2"/>
  </r>
  <r>
    <x v="495"/>
    <x v="495"/>
    <x v="40"/>
    <x v="0"/>
    <x v="2"/>
    <x v="4"/>
    <x v="0"/>
    <x v="108"/>
    <x v="135"/>
    <x v="1"/>
    <x v="17"/>
    <x v="494"/>
    <x v="490"/>
    <x v="235"/>
    <x v="495"/>
    <x v="0"/>
    <x v="4"/>
    <x v="3"/>
  </r>
  <r>
    <x v="496"/>
    <x v="496"/>
    <x v="55"/>
    <x v="0"/>
    <x v="1"/>
    <x v="0"/>
    <x v="0"/>
    <x v="29"/>
    <x v="252"/>
    <x v="2"/>
    <x v="5"/>
    <x v="495"/>
    <x v="491"/>
    <x v="489"/>
    <x v="496"/>
    <x v="1"/>
    <x v="2"/>
    <x v="2"/>
  </r>
  <r>
    <x v="497"/>
    <x v="497"/>
    <x v="50"/>
    <x v="1"/>
    <x v="0"/>
    <x v="5"/>
    <x v="1"/>
    <x v="263"/>
    <x v="191"/>
    <x v="1"/>
    <x v="18"/>
    <x v="496"/>
    <x v="492"/>
    <x v="490"/>
    <x v="497"/>
    <x v="1"/>
    <x v="3"/>
    <x v="1"/>
  </r>
  <r>
    <x v="498"/>
    <x v="498"/>
    <x v="49"/>
    <x v="0"/>
    <x v="5"/>
    <x v="4"/>
    <x v="0"/>
    <x v="193"/>
    <x v="25"/>
    <x v="2"/>
    <x v="4"/>
    <x v="497"/>
    <x v="493"/>
    <x v="491"/>
    <x v="498"/>
    <x v="3"/>
    <x v="4"/>
    <x v="0"/>
  </r>
  <r>
    <x v="499"/>
    <x v="499"/>
    <x v="30"/>
    <x v="1"/>
    <x v="0"/>
    <x v="0"/>
    <x v="0"/>
    <x v="271"/>
    <x v="197"/>
    <x v="1"/>
    <x v="16"/>
    <x v="498"/>
    <x v="494"/>
    <x v="492"/>
    <x v="499"/>
    <x v="3"/>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1000"/>
    <s v="Patient_1"/>
    <n v="52"/>
    <s v="Female"/>
    <x v="0"/>
    <s v="Dr. Patel"/>
    <s v="OPD"/>
    <d v="2024-07-27T00:00:00"/>
    <d v="2024-02-21T00:00:00"/>
    <s v="Semi-Private"/>
    <n v="17"/>
    <n v="147326"/>
    <n v="27069"/>
    <n v="18388"/>
    <n v="165005"/>
    <s v="Card"/>
    <s v="None"/>
    <s v="Deceased"/>
  </r>
  <r>
    <s v="P1001"/>
    <s v="Patient_2"/>
    <n v="15"/>
    <s v="Female"/>
    <x v="1"/>
    <s v="Dr. Singh"/>
    <s v="OPD"/>
    <d v="2024-10-17T00:00:00"/>
    <d v="2024-09-02T00:00:00"/>
    <s v="General"/>
    <n v="10"/>
    <n v="91610"/>
    <n v="20275"/>
    <n v="20192"/>
    <n v="85154"/>
    <s v="Card"/>
    <s v="ICICI Lombard"/>
    <s v="Under Treatment"/>
  </r>
  <r>
    <s v="P1002"/>
    <s v="Patient_3"/>
    <n v="72"/>
    <s v="Male"/>
    <x v="0"/>
    <s v="Dr. Mehta"/>
    <s v="Referral"/>
    <d v="2024-12-19T00:00:00"/>
    <d v="2024-02-05T00:00:00"/>
    <s v="Private"/>
    <n v="10"/>
    <n v="16442"/>
    <n v="37284"/>
    <n v="24001"/>
    <n v="147379"/>
    <s v="UPI"/>
    <s v="None"/>
    <s v="Referred"/>
  </r>
  <r>
    <s v="P1003"/>
    <s v="Patient_4"/>
    <n v="61"/>
    <s v="Female"/>
    <x v="2"/>
    <s v="Dr. Rao"/>
    <s v="OPD"/>
    <d v="2024-10-12T00:00:00"/>
    <d v="2024-10-29T00:00:00"/>
    <s v="Private"/>
    <n v="4"/>
    <n v="51289"/>
    <n v="40178"/>
    <n v="13804"/>
    <n v="231279"/>
    <s v="Card"/>
    <s v="Star Health"/>
    <s v="Under Treatment"/>
  </r>
  <r>
    <s v="P1004"/>
    <s v="Patient_5"/>
    <n v="21"/>
    <s v="Male"/>
    <x v="3"/>
    <s v="Dr. Patel"/>
    <s v="OPD"/>
    <d v="2024-04-25T00:00:00"/>
    <d v="2024-03-10T00:00:00"/>
    <s v="General"/>
    <n v="8"/>
    <n v="58747"/>
    <n v="33821"/>
    <n v="21932"/>
    <n v="245281"/>
    <s v="Cash"/>
    <s v="Star Health"/>
    <s v="Under Treatment"/>
  </r>
  <r>
    <s v="P1005"/>
    <s v="Patient_6"/>
    <n v="83"/>
    <s v="Male"/>
    <x v="4"/>
    <s v="Dr. Patel"/>
    <s v="Referral"/>
    <d v="2024-09-20T00:00:00"/>
    <d v="2024-12-15T00:00:00"/>
    <s v="Private"/>
    <n v="18"/>
    <n v="42327"/>
    <n v="17999"/>
    <n v="28027"/>
    <n v="116297"/>
    <s v="Card"/>
    <s v="Star Health"/>
    <s v="Under Treatment"/>
  </r>
  <r>
    <s v="P1006"/>
    <s v="Patient_7"/>
    <n v="87"/>
    <s v="Male"/>
    <x v="4"/>
    <s v="Dr. Mehta"/>
    <s v="OPD"/>
    <d v="2024-05-29T00:00:00"/>
    <d v="2024-11-16T00:00:00"/>
    <s v="ICU"/>
    <n v="14"/>
    <n v="152271"/>
    <n v="39712"/>
    <n v="25147"/>
    <n v="214946"/>
    <s v="UPI"/>
    <s v="HDFC Ergo"/>
    <s v="Referred"/>
  </r>
  <r>
    <s v="P1007"/>
    <s v="Patient_8"/>
    <n v="75"/>
    <s v="Female"/>
    <x v="1"/>
    <s v="Dr. Mehta"/>
    <s v="OPD"/>
    <d v="2024-10-26T00:00:00"/>
    <d v="2024-02-19T00:00:00"/>
    <s v="Semi-Private"/>
    <n v="18"/>
    <n v="77827"/>
    <n v="41172"/>
    <n v="18574"/>
    <n v="46346"/>
    <s v="Cash"/>
    <s v="HDFC Ergo"/>
    <s v="Deceased"/>
  </r>
  <r>
    <s v="P1008"/>
    <s v="Patient_9"/>
    <n v="75"/>
    <s v="Female"/>
    <x v="0"/>
    <s v="Dr. Singh"/>
    <s v="OPD"/>
    <d v="2024-02-05T00:00:00"/>
    <d v="2024-03-15T00:00:00"/>
    <s v="Semi-Private"/>
    <n v="14"/>
    <n v="111464"/>
    <n v="34722"/>
    <n v="16049"/>
    <n v="120138"/>
    <s v="Insurance"/>
    <s v="HDFC Ergo"/>
    <s v="Under Treatment"/>
  </r>
  <r>
    <s v="P1009"/>
    <s v="Patient_10"/>
    <n v="88"/>
    <s v="Male"/>
    <x v="0"/>
    <s v="Dr. Sharma"/>
    <s v="OPD"/>
    <d v="2024-11-28T00:00:00"/>
    <d v="2024-07-11T00:00:00"/>
    <s v="Semi-Private"/>
    <n v="15"/>
    <n v="136184"/>
    <n v="11625"/>
    <n v="26420"/>
    <n v="58772"/>
    <s v="UPI"/>
    <s v="None"/>
    <s v="Referred"/>
  </r>
  <r>
    <s v="P1010"/>
    <s v="Patient_11"/>
    <n v="24"/>
    <s v="Male"/>
    <x v="5"/>
    <s v="Dr. Mehta"/>
    <s v="Referral"/>
    <d v="2024-10-13T00:00:00"/>
    <d v="2024-09-18T00:00:00"/>
    <s v="ICU"/>
    <n v="4"/>
    <n v="92051"/>
    <n v="2629"/>
    <n v="3803"/>
    <n v="211156"/>
    <s v="UPI"/>
    <s v="HDFC Ergo"/>
    <s v="Recovered"/>
  </r>
  <r>
    <s v="P1011"/>
    <s v="Patient_12"/>
    <n v="3"/>
    <s v="Male"/>
    <x v="3"/>
    <s v="Dr. Mehta"/>
    <s v="OPD"/>
    <d v="2024-10-29T00:00:00"/>
    <d v="2024-12-22T00:00:00"/>
    <s v="Semi-Private"/>
    <n v="13"/>
    <n v="155653"/>
    <n v="11973"/>
    <n v="19997"/>
    <n v="48149"/>
    <s v="Insurance"/>
    <s v="ICICI Lombard"/>
    <s v="Referred"/>
  </r>
  <r>
    <s v="P1012"/>
    <s v="Patient_13"/>
    <n v="22"/>
    <s v="Male"/>
    <x v="2"/>
    <s v="Dr. Iyer"/>
    <s v="OPD"/>
    <d v="2024-11-06T00:00:00"/>
    <d v="2024-03-11T00:00:00"/>
    <s v="General"/>
    <n v="8"/>
    <n v="64722"/>
    <n v="7859"/>
    <n v="16561"/>
    <n v="94700"/>
    <s v="UPI"/>
    <s v="Star Health"/>
    <s v="Recovered"/>
  </r>
  <r>
    <s v="P1013"/>
    <s v="Patient_14"/>
    <n v="53"/>
    <s v="Female"/>
    <x v="4"/>
    <s v="Dr. Rao"/>
    <s v="Referral"/>
    <d v="2024-07-26T00:00:00"/>
    <d v="2024-03-31T00:00:00"/>
    <s v="Private"/>
    <n v="18"/>
    <n v="97036"/>
    <n v="42609"/>
    <n v="25958"/>
    <n v="166598"/>
    <s v="Card"/>
    <s v="None"/>
    <s v="Referred"/>
  </r>
  <r>
    <s v="P1014"/>
    <s v="Patient_15"/>
    <n v="2"/>
    <s v="Female"/>
    <x v="5"/>
    <s v="Dr. Iyer"/>
    <s v="Emergency"/>
    <d v="2024-04-15T00:00:00"/>
    <d v="2024-09-17T00:00:00"/>
    <s v="ICU"/>
    <n v="12"/>
    <n v="152595"/>
    <n v="44307"/>
    <n v="29310"/>
    <n v="104758"/>
    <s v="Insurance"/>
    <s v="Star Health"/>
    <s v="Deceased"/>
  </r>
  <r>
    <s v="P1015"/>
    <s v="Patient_16"/>
    <n v="88"/>
    <s v="Male"/>
    <x v="5"/>
    <s v="Dr. Iyer"/>
    <s v="Referral"/>
    <d v="2024-06-06T00:00:00"/>
    <d v="2024-05-06T00:00:00"/>
    <s v="Semi-Private"/>
    <n v="14"/>
    <n v="71960"/>
    <n v="46450"/>
    <n v="27738"/>
    <n v="224784"/>
    <s v="UPI"/>
    <s v="HDFC Ergo"/>
    <s v="Under Treatment"/>
  </r>
  <r>
    <s v="P1016"/>
    <s v="Patient_17"/>
    <n v="30"/>
    <s v="Male"/>
    <x v="1"/>
    <s v="Dr. Patel"/>
    <s v="Emergency"/>
    <d v="2024-04-30T00:00:00"/>
    <d v="2024-08-19T00:00:00"/>
    <s v="General"/>
    <n v="2"/>
    <n v="24552"/>
    <n v="37046"/>
    <n v="24734"/>
    <n v="136447"/>
    <s v="Insurance"/>
    <s v="None"/>
    <s v="Deceased"/>
  </r>
  <r>
    <s v="P1017"/>
    <s v="Patient_18"/>
    <n v="38"/>
    <s v="Female"/>
    <x v="4"/>
    <s v="Dr. Sharma"/>
    <s v="Referral"/>
    <d v="2024-02-24T00:00:00"/>
    <d v="2024-10-22T00:00:00"/>
    <s v="Private"/>
    <n v="18"/>
    <n v="146880"/>
    <n v="22839"/>
    <n v="15698"/>
    <n v="207549"/>
    <s v="Insurance"/>
    <s v="New India Assurance"/>
    <s v="Referred"/>
  </r>
  <r>
    <s v="P1018"/>
    <s v="Patient_19"/>
    <n v="2"/>
    <s v="Female"/>
    <x v="1"/>
    <s v="Dr. Rao"/>
    <s v="Referral"/>
    <d v="2024-01-12T00:00:00"/>
    <d v="2024-05-09T00:00:00"/>
    <s v="Private"/>
    <n v="2"/>
    <n v="159692"/>
    <n v="28216"/>
    <n v="23300"/>
    <n v="13695"/>
    <s v="Insurance"/>
    <s v="ICICI Lombard"/>
    <s v="Under Treatment"/>
  </r>
  <r>
    <s v="P1019"/>
    <s v="Patient_20"/>
    <n v="64"/>
    <s v="Male"/>
    <x v="2"/>
    <s v="Dr. Singh"/>
    <s v="OPD"/>
    <d v="2024-05-24T00:00:00"/>
    <d v="2024-10-07T00:00:00"/>
    <s v="ICU"/>
    <n v="11"/>
    <n v="5887"/>
    <n v="19945"/>
    <n v="18388"/>
    <n v="47169"/>
    <s v="Cash"/>
    <s v="HDFC Ergo"/>
    <s v="Recovered"/>
  </r>
  <r>
    <s v="P1020"/>
    <s v="Patient_21"/>
    <n v="60"/>
    <s v="Male"/>
    <x v="5"/>
    <s v="Dr. Singh"/>
    <s v="Emergency"/>
    <d v="2024-05-15T00:00:00"/>
    <d v="2024-11-09T00:00:00"/>
    <s v="ICU"/>
    <n v="9"/>
    <n v="36802"/>
    <n v="7539"/>
    <n v="11155"/>
    <n v="55947"/>
    <s v="UPI"/>
    <s v="HDFC Ergo"/>
    <s v="Referred"/>
  </r>
  <r>
    <s v="P1021"/>
    <s v="Patient_22"/>
    <n v="21"/>
    <s v="Male"/>
    <x v="5"/>
    <s v="Dr. Mehta"/>
    <s v="OPD"/>
    <d v="2024-01-03T00:00:00"/>
    <d v="2024-04-10T00:00:00"/>
    <s v="ICU"/>
    <n v="12"/>
    <n v="90024"/>
    <n v="34625"/>
    <n v="27629"/>
    <n v="186296"/>
    <s v="Cash"/>
    <s v="ICICI Lombard"/>
    <s v="Under Treatment"/>
  </r>
  <r>
    <s v="P1022"/>
    <s v="Patient_23"/>
    <n v="33"/>
    <s v="Female"/>
    <x v="3"/>
    <s v="Dr. Mehta"/>
    <s v="Emergency"/>
    <d v="2024-05-23T00:00:00"/>
    <d v="2024-11-22T00:00:00"/>
    <s v="General"/>
    <n v="17"/>
    <n v="123639"/>
    <n v="5886"/>
    <n v="9424"/>
    <n v="53865"/>
    <s v="UPI"/>
    <s v="ICICI Lombard"/>
    <s v="Recovered"/>
  </r>
  <r>
    <s v="P1023"/>
    <s v="Patient_24"/>
    <n v="76"/>
    <s v="Female"/>
    <x v="2"/>
    <s v="Dr. Singh"/>
    <s v="Referral"/>
    <d v="2024-01-30T00:00:00"/>
    <d v="2024-10-24T00:00:00"/>
    <s v="General"/>
    <n v="15"/>
    <n v="123248"/>
    <n v="46713"/>
    <n v="10440"/>
    <n v="164625"/>
    <s v="Card"/>
    <s v="New India Assurance"/>
    <s v="Recovered"/>
  </r>
  <r>
    <s v="P1024"/>
    <s v="Patient_25"/>
    <n v="58"/>
    <s v="Female"/>
    <x v="5"/>
    <s v="Dr. Mehta"/>
    <s v="Referral"/>
    <d v="2024-08-24T00:00:00"/>
    <d v="2024-07-01T00:00:00"/>
    <s v="ICU"/>
    <n v="17"/>
    <n v="86938"/>
    <n v="8485"/>
    <n v="4424"/>
    <n v="112501"/>
    <s v="Card"/>
    <s v="HDFC Ergo"/>
    <s v="Deceased"/>
  </r>
  <r>
    <s v="P1025"/>
    <s v="Patient_26"/>
    <n v="22"/>
    <s v="Male"/>
    <x v="2"/>
    <s v="Dr. Sharma"/>
    <s v="Emergency"/>
    <d v="2024-10-05T00:00:00"/>
    <d v="2024-06-23T00:00:00"/>
    <s v="Semi-Private"/>
    <n v="18"/>
    <n v="127746"/>
    <n v="32455"/>
    <n v="25499"/>
    <n v="68410"/>
    <s v="Card"/>
    <s v="HDFC Ergo"/>
    <s v="Referred"/>
  </r>
  <r>
    <s v="P1026"/>
    <s v="Patient_27"/>
    <n v="89"/>
    <s v="Male"/>
    <x v="4"/>
    <s v="Dr. Iyer"/>
    <s v="OPD"/>
    <d v="2024-12-13T00:00:00"/>
    <d v="2024-11-12T00:00:00"/>
    <s v="Private"/>
    <n v="6"/>
    <n v="31049"/>
    <n v="47448"/>
    <n v="28554"/>
    <n v="111754"/>
    <s v="UPI"/>
    <s v="Star Health"/>
    <s v="Recovered"/>
  </r>
  <r>
    <s v="P1027"/>
    <s v="Patient_28"/>
    <n v="49"/>
    <s v="Female"/>
    <x v="0"/>
    <s v="Dr. Mehta"/>
    <s v="OPD"/>
    <d v="2024-04-24T00:00:00"/>
    <d v="2024-12-30T00:00:00"/>
    <s v="Private"/>
    <n v="17"/>
    <n v="82789"/>
    <n v="17767"/>
    <n v="10283"/>
    <n v="98895"/>
    <s v="Insurance"/>
    <s v="None"/>
    <s v="Under Treatment"/>
  </r>
  <r>
    <s v="P1028"/>
    <s v="Patient_29"/>
    <n v="59"/>
    <s v="Female"/>
    <x v="5"/>
    <s v="Dr. Patel"/>
    <s v="OPD"/>
    <d v="2024-04-13T00:00:00"/>
    <d v="2024-07-07T00:00:00"/>
    <s v="General"/>
    <n v="18"/>
    <n v="89526"/>
    <n v="48165"/>
    <n v="4985"/>
    <n v="163888"/>
    <s v="Insurance"/>
    <s v="None"/>
    <s v="Recovered"/>
  </r>
  <r>
    <s v="P1029"/>
    <s v="Patient_30"/>
    <n v="42"/>
    <s v="Male"/>
    <x v="3"/>
    <s v="Dr. Mehta"/>
    <s v="OPD"/>
    <d v="2024-04-27T00:00:00"/>
    <d v="2024-02-27T00:00:00"/>
    <s v="Private"/>
    <n v="8"/>
    <n v="143918"/>
    <n v="29453"/>
    <n v="13129"/>
    <n v="194098"/>
    <s v="Cash"/>
    <s v="Star Health"/>
    <s v="Recovered"/>
  </r>
  <r>
    <s v="P1030"/>
    <s v="Patient_31"/>
    <n v="60"/>
    <s v="Female"/>
    <x v="4"/>
    <s v="Dr. Rao"/>
    <s v="Referral"/>
    <d v="2024-01-05T00:00:00"/>
    <d v="2024-02-01T00:00:00"/>
    <s v="Semi-Private"/>
    <n v="9"/>
    <n v="51220"/>
    <n v="11744"/>
    <n v="13733"/>
    <n v="58705"/>
    <s v="Cash"/>
    <s v="None"/>
    <s v="Deceased"/>
  </r>
  <r>
    <s v="P1031"/>
    <s v="Patient_32"/>
    <n v="80"/>
    <s v="Female"/>
    <x v="2"/>
    <s v="Dr. Sharma"/>
    <s v="Referral"/>
    <d v="2024-12-25T00:00:00"/>
    <d v="2024-03-25T00:00:00"/>
    <s v="Private"/>
    <n v="6"/>
    <n v="51163"/>
    <n v="38102"/>
    <n v="13401"/>
    <n v="200994"/>
    <s v="Card"/>
    <s v="ICICI Lombard"/>
    <s v="Deceased"/>
  </r>
  <r>
    <s v="P1032"/>
    <s v="Patient_33"/>
    <n v="15"/>
    <s v="Male"/>
    <x v="1"/>
    <s v="Dr. Rao"/>
    <s v="Referral"/>
    <d v="2024-09-04T00:00:00"/>
    <d v="2024-06-01T00:00:00"/>
    <s v="General"/>
    <n v="5"/>
    <n v="139837"/>
    <n v="13226"/>
    <n v="24984"/>
    <n v="123700"/>
    <s v="Cash"/>
    <s v="None"/>
    <s v="Under Treatment"/>
  </r>
  <r>
    <s v="P1033"/>
    <s v="Patient_34"/>
    <n v="62"/>
    <s v="Female"/>
    <x v="4"/>
    <s v="Dr. Rao"/>
    <s v="Referral"/>
    <d v="2024-12-29T00:00:00"/>
    <d v="2024-02-06T00:00:00"/>
    <s v="General"/>
    <n v="12"/>
    <n v="122126"/>
    <n v="28869"/>
    <n v="25568"/>
    <n v="81914"/>
    <s v="UPI"/>
    <s v="None"/>
    <s v="Deceased"/>
  </r>
  <r>
    <s v="P1034"/>
    <s v="Patient_35"/>
    <n v="62"/>
    <s v="Male"/>
    <x v="5"/>
    <s v="Dr. Patel"/>
    <s v="Referral"/>
    <d v="2024-11-16T00:00:00"/>
    <d v="2024-08-01T00:00:00"/>
    <s v="Semi-Private"/>
    <n v="11"/>
    <n v="86486"/>
    <n v="23588"/>
    <n v="691"/>
    <n v="9881"/>
    <s v="UPI"/>
    <s v="Star Health"/>
    <s v="Recovered"/>
  </r>
  <r>
    <s v="P1035"/>
    <s v="Patient_36"/>
    <n v="47"/>
    <s v="Male"/>
    <x v="2"/>
    <s v="Dr. Sharma"/>
    <s v="OPD"/>
    <d v="2024-04-30T00:00:00"/>
    <d v="2024-12-30T00:00:00"/>
    <s v="Semi-Private"/>
    <n v="1"/>
    <n v="181342"/>
    <n v="14440"/>
    <n v="25574"/>
    <n v="178639"/>
    <s v="Cash"/>
    <s v="New India Assurance"/>
    <s v="Recovered"/>
  </r>
  <r>
    <s v="P1036"/>
    <s v="Patient_37"/>
    <n v="62"/>
    <s v="Male"/>
    <x v="0"/>
    <s v="Dr. Sharma"/>
    <s v="OPD"/>
    <d v="2024-10-12T00:00:00"/>
    <d v="2024-04-16T00:00:00"/>
    <s v="Private"/>
    <n v="11"/>
    <n v="80277"/>
    <n v="32709"/>
    <n v="5417"/>
    <n v="55365"/>
    <s v="Cash"/>
    <s v="None"/>
    <s v="Deceased"/>
  </r>
  <r>
    <s v="P1037"/>
    <s v="Patient_38"/>
    <n v="51"/>
    <s v="Male"/>
    <x v="4"/>
    <s v="Dr. Sharma"/>
    <s v="OPD"/>
    <d v="2024-05-28T00:00:00"/>
    <d v="2024-12-08T00:00:00"/>
    <s v="Private"/>
    <n v="19"/>
    <n v="109245"/>
    <n v="48788"/>
    <n v="6331"/>
    <n v="87211"/>
    <s v="Cash"/>
    <s v="None"/>
    <s v="Recovered"/>
  </r>
  <r>
    <s v="P1038"/>
    <s v="Patient_39"/>
    <n v="55"/>
    <s v="Male"/>
    <x v="5"/>
    <s v="Dr. Sharma"/>
    <s v="OPD"/>
    <d v="2024-03-24T00:00:00"/>
    <d v="2024-08-08T00:00:00"/>
    <s v="General"/>
    <n v="9"/>
    <n v="127332"/>
    <n v="23495"/>
    <n v="26332"/>
    <n v="209194"/>
    <s v="Cash"/>
    <s v="New India Assurance"/>
    <s v="Recovered"/>
  </r>
  <r>
    <s v="P1039"/>
    <s v="Patient_40"/>
    <n v="64"/>
    <s v="Male"/>
    <x v="3"/>
    <s v="Dr. Sharma"/>
    <s v="Referral"/>
    <d v="2024-08-18T00:00:00"/>
    <d v="2024-06-12T00:00:00"/>
    <s v="Semi-Private"/>
    <n v="2"/>
    <n v="27931"/>
    <n v="38019"/>
    <n v="10660"/>
    <n v="164078"/>
    <s v="Card"/>
    <s v="Star Health"/>
    <s v="Under Treatment"/>
  </r>
  <r>
    <s v="P1040"/>
    <s v="Patient_41"/>
    <n v="3"/>
    <s v="Male"/>
    <x v="1"/>
    <s v="Dr. Patel"/>
    <s v="Referral"/>
    <d v="2024-10-14T00:00:00"/>
    <d v="2024-08-08T00:00:00"/>
    <s v="Semi-Private"/>
    <n v="12"/>
    <n v="94116"/>
    <n v="45948"/>
    <n v="21206"/>
    <n v="49198"/>
    <s v="Card"/>
    <s v="New India Assurance"/>
    <s v="Deceased"/>
  </r>
  <r>
    <s v="P1041"/>
    <s v="Patient_42"/>
    <n v="51"/>
    <s v="Female"/>
    <x v="2"/>
    <s v="Dr. Mehta"/>
    <s v="Referral"/>
    <d v="2024-06-09T00:00:00"/>
    <d v="2024-09-27T00:00:00"/>
    <s v="Semi-Private"/>
    <n v="4"/>
    <n v="60633"/>
    <n v="49908"/>
    <n v="14182"/>
    <n v="161903"/>
    <s v="Cash"/>
    <s v="Star Health"/>
    <s v="Recovered"/>
  </r>
  <r>
    <s v="P1042"/>
    <s v="Patient_43"/>
    <n v="7"/>
    <s v="Male"/>
    <x v="4"/>
    <s v="Dr. Rao"/>
    <s v="Emergency"/>
    <d v="2024-09-28T00:00:00"/>
    <d v="2024-04-30T00:00:00"/>
    <s v="Private"/>
    <n v="4"/>
    <n v="56913"/>
    <n v="1922"/>
    <n v="27262"/>
    <n v="108649"/>
    <s v="UPI"/>
    <s v="ICICI Lombard"/>
    <s v="Deceased"/>
  </r>
  <r>
    <s v="P1043"/>
    <s v="Patient_44"/>
    <n v="21"/>
    <s v="Male"/>
    <x v="4"/>
    <s v="Dr. Sharma"/>
    <s v="OPD"/>
    <d v="2024-02-07T00:00:00"/>
    <d v="2024-12-02T00:00:00"/>
    <s v="Semi-Private"/>
    <n v="18"/>
    <n v="99776"/>
    <n v="28526"/>
    <n v="23883"/>
    <n v="155531"/>
    <s v="Card"/>
    <s v="Star Health"/>
    <s v="Under Treatment"/>
  </r>
  <r>
    <s v="P1044"/>
    <s v="Patient_45"/>
    <n v="73"/>
    <s v="Female"/>
    <x v="0"/>
    <s v="Dr. Mehta"/>
    <s v="OPD"/>
    <d v="2024-08-13T00:00:00"/>
    <d v="2024-07-01T00:00:00"/>
    <s v="General"/>
    <n v="15"/>
    <n v="30991"/>
    <n v="8957"/>
    <n v="25892"/>
    <n v="171515"/>
    <s v="UPI"/>
    <s v="ICICI Lombard"/>
    <s v="Deceased"/>
  </r>
  <r>
    <s v="P1045"/>
    <s v="Patient_46"/>
    <n v="39"/>
    <s v="Female"/>
    <x v="0"/>
    <s v="Dr. Mehta"/>
    <s v="Referral"/>
    <d v="2024-05-21T00:00:00"/>
    <d v="2024-04-16T00:00:00"/>
    <s v="General"/>
    <n v="19"/>
    <n v="190917"/>
    <n v="49564"/>
    <n v="28296"/>
    <n v="181388"/>
    <s v="Insurance"/>
    <s v="ICICI Lombard"/>
    <s v="Recovered"/>
  </r>
  <r>
    <s v="P1046"/>
    <s v="Patient_47"/>
    <n v="18"/>
    <s v="Female"/>
    <x v="3"/>
    <s v="Dr. Rao"/>
    <s v="OPD"/>
    <d v="2024-10-18T00:00:00"/>
    <d v="2024-08-05T00:00:00"/>
    <s v="Private"/>
    <n v="13"/>
    <n v="109092"/>
    <n v="34998"/>
    <n v="24166"/>
    <n v="235203"/>
    <s v="UPI"/>
    <s v="Star Health"/>
    <s v="Deceased"/>
  </r>
  <r>
    <s v="P1047"/>
    <s v="Patient_48"/>
    <n v="4"/>
    <s v="Male"/>
    <x v="1"/>
    <s v="Dr. Patel"/>
    <s v="OPD"/>
    <d v="2024-05-30T00:00:00"/>
    <d v="2024-07-24T00:00:00"/>
    <s v="ICU"/>
    <n v="19"/>
    <n v="191384"/>
    <n v="44395"/>
    <n v="26549"/>
    <n v="203558"/>
    <s v="Cash"/>
    <s v="HDFC Ergo"/>
    <s v="Recovered"/>
  </r>
  <r>
    <s v="P1048"/>
    <s v="Patient_49"/>
    <n v="89"/>
    <s v="Female"/>
    <x v="3"/>
    <s v="Dr. Singh"/>
    <s v="Referral"/>
    <d v="2024-04-23T00:00:00"/>
    <d v="2024-03-11T00:00:00"/>
    <s v="Private"/>
    <n v="17"/>
    <n v="146633"/>
    <n v="25031"/>
    <n v="26162"/>
    <n v="144949"/>
    <s v="Insurance"/>
    <s v="Star Health"/>
    <s v="Recovered"/>
  </r>
  <r>
    <s v="P1049"/>
    <s v="Patient_50"/>
    <n v="60"/>
    <s v="Male"/>
    <x v="5"/>
    <s v="Dr. Singh"/>
    <s v="Emergency"/>
    <d v="2024-08-24T00:00:00"/>
    <d v="2024-02-14T00:00:00"/>
    <s v="ICU"/>
    <n v="6"/>
    <n v="152973"/>
    <n v="11006"/>
    <n v="12891"/>
    <n v="47553"/>
    <s v="Card"/>
    <s v="None"/>
    <s v="Recovered"/>
  </r>
  <r>
    <s v="P1050"/>
    <s v="Patient_51"/>
    <n v="14"/>
    <s v="Male"/>
    <x v="5"/>
    <s v="Dr. Mehta"/>
    <s v="Emergency"/>
    <d v="2024-03-06T00:00:00"/>
    <d v="2024-11-25T00:00:00"/>
    <s v="Semi-Private"/>
    <n v="16"/>
    <n v="100556"/>
    <n v="38701"/>
    <n v="2374"/>
    <n v="143994"/>
    <s v="Card"/>
    <s v="None"/>
    <s v="Under Treatment"/>
  </r>
  <r>
    <s v="P1051"/>
    <s v="Patient_52"/>
    <n v="9"/>
    <s v="Male"/>
    <x v="3"/>
    <s v="Dr. Iyer"/>
    <s v="Emergency"/>
    <d v="2024-12-26T00:00:00"/>
    <d v="2024-10-28T00:00:00"/>
    <s v="Private"/>
    <n v="12"/>
    <n v="67875"/>
    <n v="48063"/>
    <n v="9562"/>
    <n v="130778"/>
    <s v="Insurance"/>
    <s v="HDFC Ergo"/>
    <s v="Deceased"/>
  </r>
  <r>
    <s v="P1052"/>
    <s v="Patient_53"/>
    <n v="53"/>
    <s v="Male"/>
    <x v="1"/>
    <s v="Dr. Iyer"/>
    <s v="Referral"/>
    <d v="2024-12-06T00:00:00"/>
    <d v="2024-08-16T00:00:00"/>
    <s v="General"/>
    <n v="19"/>
    <n v="161989"/>
    <n v="26939"/>
    <n v="5263"/>
    <n v="125018"/>
    <s v="UPI"/>
    <s v="ICICI Lombard"/>
    <s v="Under Treatment"/>
  </r>
  <r>
    <s v="P1053"/>
    <s v="Patient_54"/>
    <n v="2"/>
    <s v="Female"/>
    <x v="3"/>
    <s v="Dr. Rao"/>
    <s v="OPD"/>
    <d v="2024-09-14T00:00:00"/>
    <d v="2024-07-03T00:00:00"/>
    <s v="Semi-Private"/>
    <n v="5"/>
    <n v="67120"/>
    <n v="21324"/>
    <n v="10734"/>
    <n v="143758"/>
    <s v="Card"/>
    <s v="HDFC Ergo"/>
    <s v="Deceased"/>
  </r>
  <r>
    <s v="P1054"/>
    <s v="Patient_55"/>
    <n v="84"/>
    <s v="Female"/>
    <x v="1"/>
    <s v="Dr. Singh"/>
    <s v="Referral"/>
    <d v="2024-09-05T00:00:00"/>
    <d v="2024-04-17T00:00:00"/>
    <s v="General"/>
    <n v="17"/>
    <n v="138060"/>
    <n v="23867"/>
    <n v="25348"/>
    <n v="40766"/>
    <s v="Cash"/>
    <s v="None"/>
    <s v="Under Treatment"/>
  </r>
  <r>
    <s v="P1055"/>
    <s v="Patient_56"/>
    <n v="60"/>
    <s v="Male"/>
    <x v="1"/>
    <s v="Dr. Mehta"/>
    <s v="Referral"/>
    <d v="2024-11-26T00:00:00"/>
    <d v="2024-03-25T00:00:00"/>
    <s v="Semi-Private"/>
    <n v="1"/>
    <n v="115041"/>
    <n v="1203"/>
    <n v="9721"/>
    <n v="219015"/>
    <s v="Insurance"/>
    <s v="HDFC Ergo"/>
    <s v="Referred"/>
  </r>
  <r>
    <s v="P1056"/>
    <s v="Patient_57"/>
    <n v="71"/>
    <s v="Male"/>
    <x v="2"/>
    <s v="Dr. Patel"/>
    <s v="OPD"/>
    <d v="2024-11-18T00:00:00"/>
    <d v="2024-12-04T00:00:00"/>
    <s v="Private"/>
    <n v="10"/>
    <n v="133467"/>
    <n v="17544"/>
    <n v="11910"/>
    <n v="40006"/>
    <s v="Cash"/>
    <s v="Star Health"/>
    <s v="Recovered"/>
  </r>
  <r>
    <s v="P1057"/>
    <s v="Patient_58"/>
    <n v="44"/>
    <s v="Male"/>
    <x v="1"/>
    <s v="Dr. Singh"/>
    <s v="Emergency"/>
    <d v="2024-06-28T00:00:00"/>
    <d v="2024-09-07T00:00:00"/>
    <s v="ICU"/>
    <n v="15"/>
    <n v="150328"/>
    <n v="16899"/>
    <n v="15019"/>
    <n v="39422"/>
    <s v="Insurance"/>
    <s v="HDFC Ergo"/>
    <s v="Recovered"/>
  </r>
  <r>
    <s v="P1058"/>
    <s v="Patient_59"/>
    <n v="8"/>
    <s v="Female"/>
    <x v="0"/>
    <s v="Dr. Mehta"/>
    <s v="Emergency"/>
    <d v="2024-07-08T00:00:00"/>
    <d v="2024-12-29T00:00:00"/>
    <s v="Semi-Private"/>
    <n v="11"/>
    <n v="123490"/>
    <n v="30063"/>
    <n v="29145"/>
    <n v="124590"/>
    <s v="Card"/>
    <s v="ICICI Lombard"/>
    <s v="Under Treatment"/>
  </r>
  <r>
    <s v="P1059"/>
    <s v="Patient_60"/>
    <n v="47"/>
    <s v="Male"/>
    <x v="1"/>
    <s v="Dr. Mehta"/>
    <s v="Referral"/>
    <d v="2024-06-02T00:00:00"/>
    <d v="2024-01-22T00:00:00"/>
    <s v="ICU"/>
    <n v="13"/>
    <n v="131155"/>
    <n v="26344"/>
    <n v="1551"/>
    <n v="20205"/>
    <s v="UPI"/>
    <s v="Star Health"/>
    <s v="Referred"/>
  </r>
  <r>
    <s v="P1060"/>
    <s v="Patient_61"/>
    <n v="35"/>
    <s v="Male"/>
    <x v="1"/>
    <s v="Dr. Sharma"/>
    <s v="Emergency"/>
    <d v="2024-07-14T00:00:00"/>
    <d v="2024-07-15T00:00:00"/>
    <s v="Semi-Private"/>
    <n v="5"/>
    <n v="33230"/>
    <n v="4748"/>
    <n v="12725"/>
    <n v="225662"/>
    <s v="Insurance"/>
    <s v="New India Assurance"/>
    <s v="Recovered"/>
  </r>
  <r>
    <s v="P1061"/>
    <s v="Patient_62"/>
    <n v="78"/>
    <s v="Female"/>
    <x v="1"/>
    <s v="Dr. Patel"/>
    <s v="Referral"/>
    <d v="2024-11-06T00:00:00"/>
    <d v="2024-06-27T00:00:00"/>
    <s v="General"/>
    <n v="1"/>
    <n v="64778"/>
    <n v="40486"/>
    <n v="10265"/>
    <n v="162599"/>
    <s v="Insurance"/>
    <s v="None"/>
    <s v="Deceased"/>
  </r>
  <r>
    <s v="P1062"/>
    <s v="Patient_63"/>
    <n v="81"/>
    <s v="Female"/>
    <x v="5"/>
    <s v="Dr. Sharma"/>
    <s v="Referral"/>
    <d v="2024-09-18T00:00:00"/>
    <d v="2024-01-08T00:00:00"/>
    <s v="General"/>
    <n v="12"/>
    <n v="50833"/>
    <n v="2093"/>
    <n v="11882"/>
    <n v="157515"/>
    <s v="Cash"/>
    <s v="None"/>
    <s v="Under Treatment"/>
  </r>
  <r>
    <s v="P1063"/>
    <s v="Patient_64"/>
    <n v="36"/>
    <s v="Male"/>
    <x v="0"/>
    <s v="Dr. Rao"/>
    <s v="OPD"/>
    <d v="2024-05-22T00:00:00"/>
    <d v="2024-03-11T00:00:00"/>
    <s v="Semi-Private"/>
    <n v="11"/>
    <n v="27625"/>
    <n v="16228"/>
    <n v="13080"/>
    <n v="155596"/>
    <s v="Card"/>
    <s v="HDFC Ergo"/>
    <s v="Recovered"/>
  </r>
  <r>
    <s v="P1064"/>
    <s v="Patient_65"/>
    <n v="50"/>
    <s v="Female"/>
    <x v="0"/>
    <s v="Dr. Sharma"/>
    <s v="OPD"/>
    <d v="2024-12-07T00:00:00"/>
    <d v="2024-05-07T00:00:00"/>
    <s v="ICU"/>
    <n v="17"/>
    <n v="37088"/>
    <n v="21884"/>
    <n v="24422"/>
    <n v="124477"/>
    <s v="Cash"/>
    <s v="Star Health"/>
    <s v="Recovered"/>
  </r>
  <r>
    <s v="P1065"/>
    <s v="Patient_66"/>
    <n v="4"/>
    <s v="Female"/>
    <x v="3"/>
    <s v="Dr. Sharma"/>
    <s v="OPD"/>
    <d v="2024-11-11T00:00:00"/>
    <d v="2024-06-09T00:00:00"/>
    <s v="Private"/>
    <n v="4"/>
    <n v="177239"/>
    <n v="26183"/>
    <n v="24295"/>
    <n v="36202"/>
    <s v="Card"/>
    <s v="New India Assurance"/>
    <s v="Under Treatment"/>
  </r>
  <r>
    <s v="P1066"/>
    <s v="Patient_67"/>
    <n v="2"/>
    <s v="Male"/>
    <x v="2"/>
    <s v="Dr. Singh"/>
    <s v="Referral"/>
    <d v="2024-04-10T00:00:00"/>
    <d v="2024-09-05T00:00:00"/>
    <s v="Private"/>
    <n v="15"/>
    <n v="108937"/>
    <n v="17034"/>
    <n v="12489"/>
    <n v="204624"/>
    <s v="Cash"/>
    <s v="Star Health"/>
    <s v="Under Treatment"/>
  </r>
  <r>
    <s v="P1067"/>
    <s v="Patient_68"/>
    <n v="6"/>
    <s v="Female"/>
    <x v="1"/>
    <s v="Dr. Iyer"/>
    <s v="OPD"/>
    <d v="2024-08-31T00:00:00"/>
    <d v="2024-07-22T00:00:00"/>
    <s v="General"/>
    <n v="9"/>
    <n v="81361"/>
    <n v="6710"/>
    <n v="28365"/>
    <n v="185214"/>
    <s v="Insurance"/>
    <s v="None"/>
    <s v="Deceased"/>
  </r>
  <r>
    <s v="P1068"/>
    <s v="Patient_69"/>
    <n v="54"/>
    <s v="Male"/>
    <x v="4"/>
    <s v="Dr. Mehta"/>
    <s v="Emergency"/>
    <d v="2024-01-12T00:00:00"/>
    <d v="2024-05-28T00:00:00"/>
    <s v="Private"/>
    <n v="19"/>
    <n v="93229"/>
    <n v="43500"/>
    <n v="23204"/>
    <n v="69692"/>
    <s v="Cash"/>
    <s v="Star Health"/>
    <s v="Deceased"/>
  </r>
  <r>
    <s v="P1069"/>
    <s v="Patient_70"/>
    <n v="4"/>
    <s v="Female"/>
    <x v="2"/>
    <s v="Dr. Patel"/>
    <s v="Emergency"/>
    <d v="2024-08-26T00:00:00"/>
    <d v="2024-05-23T00:00:00"/>
    <s v="General"/>
    <n v="19"/>
    <n v="140189"/>
    <n v="20259"/>
    <n v="12439"/>
    <n v="221456"/>
    <s v="UPI"/>
    <s v="New India Assurance"/>
    <s v="Recovered"/>
  </r>
  <r>
    <s v="P1070"/>
    <s v="Patient_71"/>
    <n v="54"/>
    <s v="Male"/>
    <x v="2"/>
    <s v="Dr. Sharma"/>
    <s v="Referral"/>
    <d v="2024-02-18T00:00:00"/>
    <d v="2024-07-18T00:00:00"/>
    <s v="Private"/>
    <n v="12"/>
    <n v="95265"/>
    <n v="36959"/>
    <n v="18989"/>
    <n v="28855"/>
    <s v="Card"/>
    <s v="HDFC Ergo"/>
    <s v="Recovered"/>
  </r>
  <r>
    <s v="P1071"/>
    <s v="Patient_72"/>
    <n v="63"/>
    <s v="Male"/>
    <x v="0"/>
    <s v="Dr. Patel"/>
    <s v="Referral"/>
    <d v="2024-02-11T00:00:00"/>
    <d v="2024-06-03T00:00:00"/>
    <s v="Semi-Private"/>
    <n v="5"/>
    <n v="102718"/>
    <n v="34457"/>
    <n v="807"/>
    <n v="222819"/>
    <s v="Card"/>
    <s v="ICICI Lombard"/>
    <s v="Under Treatment"/>
  </r>
  <r>
    <s v="P1072"/>
    <s v="Patient_73"/>
    <n v="18"/>
    <s v="Male"/>
    <x v="2"/>
    <s v="Dr. Iyer"/>
    <s v="OPD"/>
    <d v="2024-06-14T00:00:00"/>
    <d v="2024-05-22T00:00:00"/>
    <s v="General"/>
    <n v="10"/>
    <n v="65710"/>
    <n v="21143"/>
    <n v="24621"/>
    <n v="199444"/>
    <s v="Insurance"/>
    <s v="Star Health"/>
    <s v="Recovered"/>
  </r>
  <r>
    <s v="P1073"/>
    <s v="Patient_74"/>
    <n v="44"/>
    <s v="Female"/>
    <x v="1"/>
    <s v="Dr. Iyer"/>
    <s v="Referral"/>
    <d v="2024-03-22T00:00:00"/>
    <d v="2024-11-09T00:00:00"/>
    <s v="General"/>
    <n v="17"/>
    <n v="99876"/>
    <n v="3103"/>
    <n v="3859"/>
    <n v="33095"/>
    <s v="Card"/>
    <s v="ICICI Lombard"/>
    <s v="Recovered"/>
  </r>
  <r>
    <s v="P1074"/>
    <s v="Patient_75"/>
    <n v="34"/>
    <s v="Male"/>
    <x v="1"/>
    <s v="Dr. Sharma"/>
    <s v="Referral"/>
    <d v="2024-10-17T00:00:00"/>
    <d v="2024-06-14T00:00:00"/>
    <s v="Semi-Private"/>
    <n v="5"/>
    <n v="35949"/>
    <n v="1365"/>
    <n v="3676"/>
    <n v="177796"/>
    <s v="UPI"/>
    <s v="None"/>
    <s v="Under Treatment"/>
  </r>
  <r>
    <s v="P1075"/>
    <s v="Patient_76"/>
    <n v="74"/>
    <s v="Female"/>
    <x v="5"/>
    <s v="Dr. Rao"/>
    <s v="Emergency"/>
    <d v="2024-06-06T00:00:00"/>
    <d v="2024-11-10T00:00:00"/>
    <s v="General"/>
    <n v="16"/>
    <n v="158619"/>
    <n v="47778"/>
    <n v="1751"/>
    <n v="57241"/>
    <s v="Cash"/>
    <s v="HDFC Ergo"/>
    <s v="Recovered"/>
  </r>
  <r>
    <s v="P1076"/>
    <s v="Patient_77"/>
    <n v="62"/>
    <s v="Male"/>
    <x v="1"/>
    <s v="Dr. Sharma"/>
    <s v="Emergency"/>
    <d v="2024-08-03T00:00:00"/>
    <d v="2024-01-22T00:00:00"/>
    <s v="Private"/>
    <n v="7"/>
    <n v="73136"/>
    <n v="45535"/>
    <n v="5866"/>
    <n v="111119"/>
    <s v="Insurance"/>
    <s v="HDFC Ergo"/>
    <s v="Recovered"/>
  </r>
  <r>
    <s v="P1077"/>
    <s v="Patient_78"/>
    <n v="14"/>
    <s v="Male"/>
    <x v="1"/>
    <s v="Dr. Singh"/>
    <s v="OPD"/>
    <d v="2024-06-06T00:00:00"/>
    <d v="2024-03-23T00:00:00"/>
    <s v="Private"/>
    <n v="9"/>
    <n v="116541"/>
    <n v="17103"/>
    <n v="27823"/>
    <n v="60003"/>
    <s v="UPI"/>
    <s v="Star Health"/>
    <s v="Referred"/>
  </r>
  <r>
    <s v="P1078"/>
    <s v="Patient_79"/>
    <n v="48"/>
    <s v="Female"/>
    <x v="0"/>
    <s v="Dr. Mehta"/>
    <s v="Referral"/>
    <d v="2024-05-13T00:00:00"/>
    <d v="2024-03-10T00:00:00"/>
    <s v="General"/>
    <n v="3"/>
    <n v="66842"/>
    <n v="33510"/>
    <n v="18401"/>
    <n v="207451"/>
    <s v="Card"/>
    <s v="HDFC Ergo"/>
    <s v="Deceased"/>
  </r>
  <r>
    <s v="P1079"/>
    <s v="Patient_80"/>
    <n v="15"/>
    <s v="Male"/>
    <x v="1"/>
    <s v="Dr. Rao"/>
    <s v="Referral"/>
    <d v="2024-03-07T00:00:00"/>
    <d v="2024-05-11T00:00:00"/>
    <s v="Private"/>
    <n v="15"/>
    <n v="31990"/>
    <n v="25476"/>
    <n v="6726"/>
    <n v="102837"/>
    <s v="Card"/>
    <s v="Star Health"/>
    <s v="Under Treatment"/>
  </r>
  <r>
    <s v="P1080"/>
    <s v="Patient_81"/>
    <n v="72"/>
    <s v="Male"/>
    <x v="5"/>
    <s v="Dr. Sharma"/>
    <s v="Emergency"/>
    <d v="2024-12-01T00:00:00"/>
    <d v="2024-03-28T00:00:00"/>
    <s v="ICU"/>
    <n v="16"/>
    <n v="152265"/>
    <n v="13742"/>
    <n v="22189"/>
    <n v="231068"/>
    <s v="UPI"/>
    <s v="Star Health"/>
    <s v="Referred"/>
  </r>
  <r>
    <s v="P1081"/>
    <s v="Patient_82"/>
    <n v="78"/>
    <s v="Female"/>
    <x v="4"/>
    <s v="Dr. Patel"/>
    <s v="Referral"/>
    <d v="2024-01-07T00:00:00"/>
    <d v="2024-08-06T00:00:00"/>
    <s v="General"/>
    <n v="18"/>
    <n v="35109"/>
    <n v="13391"/>
    <n v="26454"/>
    <n v="236526"/>
    <s v="Cash"/>
    <s v="ICICI Lombard"/>
    <s v="Deceased"/>
  </r>
  <r>
    <s v="P1082"/>
    <s v="Patient_83"/>
    <n v="87"/>
    <s v="Male"/>
    <x v="0"/>
    <s v="Dr. Rao"/>
    <s v="Emergency"/>
    <d v="2024-01-14T00:00:00"/>
    <d v="2024-11-01T00:00:00"/>
    <s v="Semi-Private"/>
    <n v="14"/>
    <n v="135356"/>
    <n v="37940"/>
    <n v="22753"/>
    <n v="102283"/>
    <s v="Cash"/>
    <s v="HDFC Ergo"/>
    <s v="Deceased"/>
  </r>
  <r>
    <s v="P1083"/>
    <s v="Patient_84"/>
    <n v="62"/>
    <s v="Male"/>
    <x v="4"/>
    <s v="Dr. Rao"/>
    <s v="OPD"/>
    <d v="2024-03-13T00:00:00"/>
    <d v="2024-12-11T00:00:00"/>
    <s v="ICU"/>
    <n v="3"/>
    <n v="155305"/>
    <n v="29901"/>
    <n v="24923"/>
    <n v="155044"/>
    <s v="Insurance"/>
    <s v="Star Health"/>
    <s v="Deceased"/>
  </r>
  <r>
    <s v="P1084"/>
    <s v="Patient_85"/>
    <n v="40"/>
    <s v="Male"/>
    <x v="0"/>
    <s v="Dr. Sharma"/>
    <s v="Emergency"/>
    <d v="2024-06-11T00:00:00"/>
    <d v="2024-12-07T00:00:00"/>
    <s v="General"/>
    <n v="12"/>
    <n v="133133"/>
    <n v="33001"/>
    <n v="14830"/>
    <n v="131805"/>
    <s v="Card"/>
    <s v="ICICI Lombard"/>
    <s v="Referred"/>
  </r>
  <r>
    <s v="P1085"/>
    <s v="Patient_86"/>
    <n v="85"/>
    <s v="Male"/>
    <x v="3"/>
    <s v="Dr. Rao"/>
    <s v="Referral"/>
    <d v="2024-03-06T00:00:00"/>
    <d v="2024-06-10T00:00:00"/>
    <s v="Semi-Private"/>
    <n v="9"/>
    <n v="170582"/>
    <n v="16623"/>
    <n v="5391"/>
    <n v="101846"/>
    <s v="UPI"/>
    <s v="New India Assurance"/>
    <s v="Referred"/>
  </r>
  <r>
    <s v="P1086"/>
    <s v="Patient_87"/>
    <n v="80"/>
    <s v="Female"/>
    <x v="2"/>
    <s v="Dr. Patel"/>
    <s v="OPD"/>
    <d v="2024-12-12T00:00:00"/>
    <d v="2024-06-27T00:00:00"/>
    <s v="Private"/>
    <n v="7"/>
    <n v="6306"/>
    <n v="3378"/>
    <n v="5492"/>
    <n v="30927"/>
    <s v="Cash"/>
    <s v="ICICI Lombard"/>
    <s v="Deceased"/>
  </r>
  <r>
    <s v="P1087"/>
    <s v="Patient_88"/>
    <n v="82"/>
    <s v="Female"/>
    <x v="3"/>
    <s v="Dr. Iyer"/>
    <s v="Emergency"/>
    <d v="2024-05-09T00:00:00"/>
    <d v="2024-04-27T00:00:00"/>
    <s v="Semi-Private"/>
    <n v="9"/>
    <n v="8849"/>
    <n v="22372"/>
    <n v="2461"/>
    <n v="128589"/>
    <s v="Insurance"/>
    <s v="ICICI Lombard"/>
    <s v="Recovered"/>
  </r>
  <r>
    <s v="P1088"/>
    <s v="Patient_89"/>
    <n v="53"/>
    <s v="Male"/>
    <x v="1"/>
    <s v="Dr. Rao"/>
    <s v="Emergency"/>
    <d v="2024-07-24T00:00:00"/>
    <d v="2024-07-15T00:00:00"/>
    <s v="ICU"/>
    <n v="13"/>
    <n v="17360"/>
    <n v="45799"/>
    <n v="12997"/>
    <n v="123657"/>
    <s v="Card"/>
    <s v="Star Health"/>
    <s v="Recovered"/>
  </r>
  <r>
    <s v="P1089"/>
    <s v="Patient_90"/>
    <n v="24"/>
    <s v="Female"/>
    <x v="4"/>
    <s v="Dr. Iyer"/>
    <s v="OPD"/>
    <d v="2024-10-02T00:00:00"/>
    <d v="2024-11-23T00:00:00"/>
    <s v="Private"/>
    <n v="18"/>
    <n v="116072"/>
    <n v="39437"/>
    <n v="19747"/>
    <n v="74630"/>
    <s v="Card"/>
    <s v="None"/>
    <s v="Referred"/>
  </r>
  <r>
    <s v="P1090"/>
    <s v="Patient_91"/>
    <n v="26"/>
    <s v="Male"/>
    <x v="1"/>
    <s v="Dr. Patel"/>
    <s v="OPD"/>
    <d v="2024-09-12T00:00:00"/>
    <d v="2024-03-27T00:00:00"/>
    <s v="General"/>
    <n v="5"/>
    <n v="99767"/>
    <n v="36503"/>
    <n v="11348"/>
    <n v="112428"/>
    <s v="Insurance"/>
    <s v="None"/>
    <s v="Referred"/>
  </r>
  <r>
    <s v="P1091"/>
    <s v="Patient_92"/>
    <n v="89"/>
    <s v="Female"/>
    <x v="2"/>
    <s v="Dr. Sharma"/>
    <s v="Emergency"/>
    <d v="2024-09-22T00:00:00"/>
    <d v="2024-10-16T00:00:00"/>
    <s v="Private"/>
    <n v="13"/>
    <n v="181872"/>
    <n v="31746"/>
    <n v="27570"/>
    <n v="130035"/>
    <s v="Insurance"/>
    <s v="None"/>
    <s v="Referred"/>
  </r>
  <r>
    <s v="P1092"/>
    <s v="Patient_93"/>
    <n v="60"/>
    <s v="Male"/>
    <x v="0"/>
    <s v="Dr. Mehta"/>
    <s v="Referral"/>
    <d v="2024-01-25T00:00:00"/>
    <d v="2024-03-22T00:00:00"/>
    <s v="General"/>
    <n v="4"/>
    <n v="173035"/>
    <n v="28923"/>
    <n v="23487"/>
    <n v="191419"/>
    <s v="Cash"/>
    <s v="ICICI Lombard"/>
    <s v="Deceased"/>
  </r>
  <r>
    <s v="P1093"/>
    <s v="Patient_94"/>
    <n v="41"/>
    <s v="Male"/>
    <x v="2"/>
    <s v="Dr. Rao"/>
    <s v="Emergency"/>
    <d v="2024-10-07T00:00:00"/>
    <d v="2024-06-01T00:00:00"/>
    <s v="General"/>
    <n v="2"/>
    <n v="59330"/>
    <n v="10867"/>
    <n v="13755"/>
    <n v="238780"/>
    <s v="UPI"/>
    <s v="Star Health"/>
    <s v="Recovered"/>
  </r>
  <r>
    <s v="P1094"/>
    <s v="Patient_95"/>
    <n v="29"/>
    <s v="Male"/>
    <x v="5"/>
    <s v="Dr. Mehta"/>
    <s v="OPD"/>
    <d v="2024-09-09T00:00:00"/>
    <d v="2024-03-02T00:00:00"/>
    <s v="Semi-Private"/>
    <n v="16"/>
    <n v="56707"/>
    <n v="42258"/>
    <n v="5067"/>
    <n v="134244"/>
    <s v="Card"/>
    <s v="HDFC Ergo"/>
    <s v="Referred"/>
  </r>
  <r>
    <s v="P1095"/>
    <s v="Patient_96"/>
    <n v="15"/>
    <s v="Male"/>
    <x v="2"/>
    <s v="Dr. Patel"/>
    <s v="Emergency"/>
    <d v="2024-11-05T00:00:00"/>
    <d v="2024-03-02T00:00:00"/>
    <s v="Semi-Private"/>
    <n v="9"/>
    <n v="23689"/>
    <n v="34724"/>
    <n v="16579"/>
    <n v="227932"/>
    <s v="UPI"/>
    <s v="ICICI Lombard"/>
    <s v="Referred"/>
  </r>
  <r>
    <s v="P1096"/>
    <s v="Patient_97"/>
    <n v="45"/>
    <s v="Male"/>
    <x v="5"/>
    <s v="Dr. Rao"/>
    <s v="OPD"/>
    <d v="2024-10-15T00:00:00"/>
    <d v="2024-12-20T00:00:00"/>
    <s v="Semi-Private"/>
    <n v="9"/>
    <n v="34084"/>
    <n v="10306"/>
    <n v="7013"/>
    <n v="225282"/>
    <s v="Card"/>
    <s v="ICICI Lombard"/>
    <s v="Under Treatment"/>
  </r>
  <r>
    <s v="P1097"/>
    <s v="Patient_98"/>
    <n v="65"/>
    <s v="Male"/>
    <x v="2"/>
    <s v="Dr. Iyer"/>
    <s v="OPD"/>
    <d v="2024-06-12T00:00:00"/>
    <d v="2024-01-29T00:00:00"/>
    <s v="ICU"/>
    <n v="6"/>
    <n v="45387"/>
    <n v="40391"/>
    <n v="15735"/>
    <n v="77518"/>
    <s v="Card"/>
    <s v="Star Health"/>
    <s v="Deceased"/>
  </r>
  <r>
    <s v="P1098"/>
    <s v="Patient_99"/>
    <n v="89"/>
    <s v="Female"/>
    <x v="5"/>
    <s v="Dr. Singh"/>
    <s v="Referral"/>
    <d v="2024-04-04T00:00:00"/>
    <d v="2024-02-13T00:00:00"/>
    <s v="ICU"/>
    <n v="11"/>
    <n v="79816"/>
    <n v="15908"/>
    <n v="20889"/>
    <n v="184355"/>
    <s v="UPI"/>
    <s v="New India Assurance"/>
    <s v="Under Treatment"/>
  </r>
  <r>
    <s v="P1099"/>
    <s v="Patient_100"/>
    <n v="71"/>
    <s v="Male"/>
    <x v="4"/>
    <s v="Dr. Mehta"/>
    <s v="OPD"/>
    <d v="2024-09-26T00:00:00"/>
    <d v="2024-06-18T00:00:00"/>
    <s v="Semi-Private"/>
    <n v="1"/>
    <n v="7642"/>
    <n v="28081"/>
    <n v="12255"/>
    <n v="89326"/>
    <s v="Insurance"/>
    <s v="ICICI Lombard"/>
    <s v="Recovered"/>
  </r>
  <r>
    <s v="P1100"/>
    <s v="Patient_101"/>
    <n v="9"/>
    <s v="Female"/>
    <x v="1"/>
    <s v="Dr. Rao"/>
    <s v="OPD"/>
    <d v="2024-11-16T00:00:00"/>
    <d v="2024-03-27T00:00:00"/>
    <s v="ICU"/>
    <n v="4"/>
    <n v="47137"/>
    <n v="38228"/>
    <n v="25998"/>
    <n v="151277"/>
    <s v="Cash"/>
    <s v="New India Assurance"/>
    <s v="Under Treatment"/>
  </r>
  <r>
    <s v="P1101"/>
    <s v="Patient_102"/>
    <n v="88"/>
    <s v="Male"/>
    <x v="1"/>
    <s v="Dr. Mehta"/>
    <s v="Referral"/>
    <d v="2024-04-19T00:00:00"/>
    <d v="2024-06-26T00:00:00"/>
    <s v="Private"/>
    <n v="13"/>
    <n v="191633"/>
    <n v="24386"/>
    <n v="29308"/>
    <n v="128243"/>
    <s v="Card"/>
    <s v="New India Assurance"/>
    <s v="Under Treatment"/>
  </r>
  <r>
    <s v="P1102"/>
    <s v="Patient_103"/>
    <n v="1"/>
    <s v="Female"/>
    <x v="3"/>
    <s v="Dr. Rao"/>
    <s v="OPD"/>
    <d v="2024-12-01T00:00:00"/>
    <d v="2024-01-18T00:00:00"/>
    <s v="Private"/>
    <n v="13"/>
    <n v="67260"/>
    <n v="47754"/>
    <n v="29538"/>
    <n v="228946"/>
    <s v="Insurance"/>
    <s v="None"/>
    <s v="Under Treatment"/>
  </r>
  <r>
    <s v="P1103"/>
    <s v="Patient_104"/>
    <n v="8"/>
    <s v="Female"/>
    <x v="1"/>
    <s v="Dr. Sharma"/>
    <s v="Referral"/>
    <d v="2024-11-05T00:00:00"/>
    <d v="2024-04-08T00:00:00"/>
    <s v="ICU"/>
    <n v="13"/>
    <n v="151510"/>
    <n v="46406"/>
    <n v="11651"/>
    <n v="20748"/>
    <s v="Card"/>
    <s v="Star Health"/>
    <s v="Deceased"/>
  </r>
  <r>
    <s v="P1104"/>
    <s v="Patient_105"/>
    <n v="88"/>
    <s v="Female"/>
    <x v="0"/>
    <s v="Dr. Iyer"/>
    <s v="Referral"/>
    <d v="2024-08-25T00:00:00"/>
    <d v="2024-07-17T00:00:00"/>
    <s v="ICU"/>
    <n v="2"/>
    <n v="53442"/>
    <n v="29302"/>
    <n v="17067"/>
    <n v="160169"/>
    <s v="Cash"/>
    <s v="New India Assurance"/>
    <s v="Recovered"/>
  </r>
  <r>
    <s v="P1105"/>
    <s v="Patient_106"/>
    <n v="63"/>
    <s v="Male"/>
    <x v="2"/>
    <s v="Dr. Mehta"/>
    <s v="OPD"/>
    <d v="2024-01-25T00:00:00"/>
    <d v="2024-04-08T00:00:00"/>
    <s v="Private"/>
    <n v="9"/>
    <n v="108061"/>
    <n v="20212"/>
    <n v="24639"/>
    <n v="142164"/>
    <s v="Card"/>
    <s v="Star Health"/>
    <s v="Under Treatment"/>
  </r>
  <r>
    <s v="P1106"/>
    <s v="Patient_107"/>
    <n v="11"/>
    <s v="Male"/>
    <x v="3"/>
    <s v="Dr. Singh"/>
    <s v="OPD"/>
    <d v="2024-05-20T00:00:00"/>
    <d v="2024-03-06T00:00:00"/>
    <s v="General"/>
    <n v="8"/>
    <n v="139066"/>
    <n v="36618"/>
    <n v="3858"/>
    <n v="61311"/>
    <s v="Cash"/>
    <s v="None"/>
    <s v="Deceased"/>
  </r>
  <r>
    <s v="P1107"/>
    <s v="Patient_108"/>
    <n v="81"/>
    <s v="Female"/>
    <x v="0"/>
    <s v="Dr. Singh"/>
    <s v="Emergency"/>
    <d v="2024-04-26T00:00:00"/>
    <d v="2024-11-26T00:00:00"/>
    <s v="Private"/>
    <n v="7"/>
    <n v="130844"/>
    <n v="47067"/>
    <n v="23499"/>
    <n v="30692"/>
    <s v="Cash"/>
    <s v="Star Health"/>
    <s v="Recovered"/>
  </r>
  <r>
    <s v="P1108"/>
    <s v="Patient_109"/>
    <n v="8"/>
    <s v="Male"/>
    <x v="0"/>
    <s v="Dr. Patel"/>
    <s v="Referral"/>
    <d v="2024-01-25T00:00:00"/>
    <d v="2024-12-07T00:00:00"/>
    <s v="Private"/>
    <n v="4"/>
    <n v="104575"/>
    <n v="11698"/>
    <n v="10090"/>
    <n v="132954"/>
    <s v="Card"/>
    <s v="ICICI Lombard"/>
    <s v="Referred"/>
  </r>
  <r>
    <s v="P1109"/>
    <s v="Patient_110"/>
    <n v="35"/>
    <s v="Female"/>
    <x v="5"/>
    <s v="Dr. Rao"/>
    <s v="Emergency"/>
    <d v="2024-03-19T00:00:00"/>
    <d v="2024-01-06T00:00:00"/>
    <s v="ICU"/>
    <n v="18"/>
    <n v="6813"/>
    <n v="5594"/>
    <n v="23681"/>
    <n v="162934"/>
    <s v="Card"/>
    <s v="New India Assurance"/>
    <s v="Under Treatment"/>
  </r>
  <r>
    <s v="P1110"/>
    <s v="Patient_111"/>
    <n v="35"/>
    <s v="Male"/>
    <x v="1"/>
    <s v="Dr. Mehta"/>
    <s v="OPD"/>
    <d v="2024-03-08T00:00:00"/>
    <d v="2024-01-03T00:00:00"/>
    <s v="Private"/>
    <n v="3"/>
    <n v="98027"/>
    <n v="26525"/>
    <n v="11488"/>
    <n v="138035"/>
    <s v="Cash"/>
    <s v="Star Health"/>
    <s v="Recovered"/>
  </r>
  <r>
    <s v="P1111"/>
    <s v="Patient_112"/>
    <n v="33"/>
    <s v="Female"/>
    <x v="4"/>
    <s v="Dr. Patel"/>
    <s v="Emergency"/>
    <d v="2024-06-21T00:00:00"/>
    <d v="2024-01-23T00:00:00"/>
    <s v="ICU"/>
    <n v="6"/>
    <n v="128489"/>
    <n v="15282"/>
    <n v="25612"/>
    <n v="229468"/>
    <s v="Insurance"/>
    <s v="HDFC Ergo"/>
    <s v="Under Treatment"/>
  </r>
  <r>
    <s v="P1112"/>
    <s v="Patient_113"/>
    <n v="5"/>
    <s v="Female"/>
    <x v="4"/>
    <s v="Dr. Mehta"/>
    <s v="Referral"/>
    <d v="2024-01-12T00:00:00"/>
    <d v="2024-04-22T00:00:00"/>
    <s v="ICU"/>
    <n v="12"/>
    <n v="89381"/>
    <n v="15334"/>
    <n v="8178"/>
    <n v="87507"/>
    <s v="UPI"/>
    <s v="Star Health"/>
    <s v="Referred"/>
  </r>
  <r>
    <s v="P1113"/>
    <s v="Patient_114"/>
    <n v="41"/>
    <s v="Male"/>
    <x v="3"/>
    <s v="Dr. Rao"/>
    <s v="Emergency"/>
    <d v="2024-10-14T00:00:00"/>
    <d v="2024-02-27T00:00:00"/>
    <s v="Semi-Private"/>
    <n v="12"/>
    <n v="60276"/>
    <n v="30179"/>
    <n v="6198"/>
    <n v="88152"/>
    <s v="Cash"/>
    <s v="New India Assurance"/>
    <s v="Recovered"/>
  </r>
  <r>
    <s v="P1114"/>
    <s v="Patient_115"/>
    <n v="28"/>
    <s v="Female"/>
    <x v="4"/>
    <s v="Dr. Singh"/>
    <s v="Referral"/>
    <d v="2024-05-07T00:00:00"/>
    <d v="2024-03-07T00:00:00"/>
    <s v="Private"/>
    <n v="8"/>
    <n v="46243"/>
    <n v="7644"/>
    <n v="1773"/>
    <n v="209541"/>
    <s v="Card"/>
    <s v="None"/>
    <s v="Deceased"/>
  </r>
  <r>
    <s v="P1115"/>
    <s v="Patient_116"/>
    <n v="7"/>
    <s v="Male"/>
    <x v="2"/>
    <s v="Dr. Sharma"/>
    <s v="OPD"/>
    <d v="2024-04-05T00:00:00"/>
    <d v="2024-11-26T00:00:00"/>
    <s v="General"/>
    <n v="1"/>
    <n v="198984"/>
    <n v="36618"/>
    <n v="28043"/>
    <n v="12926"/>
    <s v="Card"/>
    <s v="None"/>
    <s v="Recovered"/>
  </r>
  <r>
    <s v="P1116"/>
    <s v="Patient_117"/>
    <n v="73"/>
    <s v="Female"/>
    <x v="4"/>
    <s v="Dr. Singh"/>
    <s v="OPD"/>
    <d v="2024-04-01T00:00:00"/>
    <d v="2024-04-08T00:00:00"/>
    <s v="Semi-Private"/>
    <n v="4"/>
    <n v="65272"/>
    <n v="48701"/>
    <n v="23537"/>
    <n v="230371"/>
    <s v="Insurance"/>
    <s v="New India Assurance"/>
    <s v="Deceased"/>
  </r>
  <r>
    <s v="P1117"/>
    <s v="Patient_118"/>
    <n v="72"/>
    <s v="Female"/>
    <x v="3"/>
    <s v="Dr. Patel"/>
    <s v="Referral"/>
    <d v="2024-05-20T00:00:00"/>
    <d v="2024-05-24T00:00:00"/>
    <s v="ICU"/>
    <n v="11"/>
    <n v="178123"/>
    <n v="33933"/>
    <n v="11741"/>
    <n v="11969"/>
    <s v="UPI"/>
    <s v="ICICI Lombard"/>
    <s v="Recovered"/>
  </r>
  <r>
    <s v="P1118"/>
    <s v="Patient_119"/>
    <n v="12"/>
    <s v="Male"/>
    <x v="4"/>
    <s v="Dr. Iyer"/>
    <s v="OPD"/>
    <d v="2024-01-31T00:00:00"/>
    <d v="2025-01-03T00:00:00"/>
    <s v="ICU"/>
    <n v="3"/>
    <n v="70618"/>
    <n v="44469"/>
    <n v="17980"/>
    <n v="43733"/>
    <s v="Cash"/>
    <s v="ICICI Lombard"/>
    <s v="Deceased"/>
  </r>
  <r>
    <s v="P1119"/>
    <s v="Patient_120"/>
    <n v="34"/>
    <s v="Male"/>
    <x v="2"/>
    <s v="Dr. Sharma"/>
    <s v="OPD"/>
    <d v="2024-11-29T00:00:00"/>
    <d v="2024-05-05T00:00:00"/>
    <s v="General"/>
    <n v="13"/>
    <n v="6920"/>
    <n v="34687"/>
    <n v="9997"/>
    <n v="77855"/>
    <s v="Cash"/>
    <s v="None"/>
    <s v="Referred"/>
  </r>
  <r>
    <s v="P1120"/>
    <s v="Patient_121"/>
    <n v="33"/>
    <s v="Male"/>
    <x v="5"/>
    <s v="Dr. Patel"/>
    <s v="OPD"/>
    <d v="2024-01-20T00:00:00"/>
    <d v="2024-06-16T00:00:00"/>
    <s v="ICU"/>
    <n v="17"/>
    <n v="111121"/>
    <n v="42073"/>
    <n v="9607"/>
    <n v="49743"/>
    <s v="UPI"/>
    <s v="None"/>
    <s v="Referred"/>
  </r>
  <r>
    <s v="P1121"/>
    <s v="Patient_122"/>
    <n v="48"/>
    <s v="Female"/>
    <x v="3"/>
    <s v="Dr. Rao"/>
    <s v="OPD"/>
    <d v="2024-05-25T00:00:00"/>
    <d v="2024-03-27T00:00:00"/>
    <s v="Private"/>
    <n v="10"/>
    <n v="81872"/>
    <n v="18375"/>
    <n v="11773"/>
    <n v="138193"/>
    <s v="Cash"/>
    <s v="New India Assurance"/>
    <s v="Referred"/>
  </r>
  <r>
    <s v="P1122"/>
    <s v="Patient_123"/>
    <n v="23"/>
    <s v="Male"/>
    <x v="5"/>
    <s v="Dr. Sharma"/>
    <s v="Referral"/>
    <d v="2024-11-11T00:00:00"/>
    <d v="2024-03-17T00:00:00"/>
    <s v="Semi-Private"/>
    <n v="12"/>
    <n v="86132"/>
    <n v="49483"/>
    <n v="8502"/>
    <n v="178948"/>
    <s v="UPI"/>
    <s v="ICICI Lombard"/>
    <s v="Recovered"/>
  </r>
  <r>
    <s v="P1123"/>
    <s v="Patient_124"/>
    <n v="62"/>
    <s v="Female"/>
    <x v="5"/>
    <s v="Dr. Patel"/>
    <s v="Emergency"/>
    <d v="2024-06-08T00:00:00"/>
    <d v="2024-12-10T00:00:00"/>
    <s v="ICU"/>
    <n v="15"/>
    <n v="7093"/>
    <n v="31926"/>
    <n v="4747"/>
    <n v="115445"/>
    <s v="Card"/>
    <s v="None"/>
    <s v="Referred"/>
  </r>
  <r>
    <s v="P1124"/>
    <s v="Patient_125"/>
    <n v="88"/>
    <s v="Female"/>
    <x v="5"/>
    <s v="Dr. Rao"/>
    <s v="Emergency"/>
    <d v="2024-12-14T00:00:00"/>
    <d v="2024-10-21T00:00:00"/>
    <s v="ICU"/>
    <n v="10"/>
    <n v="17905"/>
    <n v="37607"/>
    <n v="9720"/>
    <n v="28323"/>
    <s v="UPI"/>
    <s v="ICICI Lombard"/>
    <s v="Under Treatment"/>
  </r>
  <r>
    <s v="P1125"/>
    <s v="Patient_126"/>
    <n v="37"/>
    <s v="Male"/>
    <x v="0"/>
    <s v="Dr. Singh"/>
    <s v="OPD"/>
    <d v="2024-02-12T00:00:00"/>
    <d v="2024-02-29T00:00:00"/>
    <s v="General"/>
    <n v="14"/>
    <n v="126759"/>
    <n v="18642"/>
    <n v="22198"/>
    <n v="24428"/>
    <s v="Cash"/>
    <s v="None"/>
    <s v="Referred"/>
  </r>
  <r>
    <s v="P1126"/>
    <s v="Patient_127"/>
    <n v="44"/>
    <s v="Male"/>
    <x v="1"/>
    <s v="Dr. Iyer"/>
    <s v="Emergency"/>
    <d v="2024-09-10T00:00:00"/>
    <d v="2024-05-18T00:00:00"/>
    <s v="Private"/>
    <n v="13"/>
    <n v="160423"/>
    <n v="24993"/>
    <n v="27053"/>
    <n v="42578"/>
    <s v="UPI"/>
    <s v="Star Health"/>
    <s v="Deceased"/>
  </r>
  <r>
    <s v="P1127"/>
    <s v="Patient_128"/>
    <n v="86"/>
    <s v="Female"/>
    <x v="0"/>
    <s v="Dr. Rao"/>
    <s v="Emergency"/>
    <d v="2024-05-09T00:00:00"/>
    <d v="2024-04-09T00:00:00"/>
    <s v="ICU"/>
    <n v="5"/>
    <n v="35981"/>
    <n v="45386"/>
    <n v="20238"/>
    <n v="94486"/>
    <s v="Insurance"/>
    <s v="HDFC Ergo"/>
    <s v="Deceased"/>
  </r>
  <r>
    <s v="P1128"/>
    <s v="Patient_129"/>
    <n v="35"/>
    <s v="Female"/>
    <x v="1"/>
    <s v="Dr. Mehta"/>
    <s v="OPD"/>
    <d v="2024-02-29T00:00:00"/>
    <d v="2024-07-11T00:00:00"/>
    <s v="General"/>
    <n v="6"/>
    <n v="78903"/>
    <n v="47287"/>
    <n v="11203"/>
    <n v="247649"/>
    <s v="Card"/>
    <s v="Star Health"/>
    <s v="Deceased"/>
  </r>
  <r>
    <s v="P1129"/>
    <s v="Patient_130"/>
    <n v="65"/>
    <s v="Male"/>
    <x v="5"/>
    <s v="Dr. Rao"/>
    <s v="OPD"/>
    <d v="2024-05-30T00:00:00"/>
    <d v="2024-08-31T00:00:00"/>
    <s v="ICU"/>
    <n v="2"/>
    <n v="75821"/>
    <n v="22188"/>
    <n v="15972"/>
    <n v="72140"/>
    <s v="Card"/>
    <s v="None"/>
    <s v="Recovered"/>
  </r>
  <r>
    <s v="P1130"/>
    <s v="Patient_131"/>
    <n v="47"/>
    <s v="Male"/>
    <x v="3"/>
    <s v="Dr. Rao"/>
    <s v="Emergency"/>
    <d v="2024-10-13T00:00:00"/>
    <d v="2024-11-15T00:00:00"/>
    <s v="General"/>
    <n v="17"/>
    <n v="114200"/>
    <n v="33596"/>
    <n v="17154"/>
    <n v="115325"/>
    <s v="UPI"/>
    <s v="HDFC Ergo"/>
    <s v="Under Treatment"/>
  </r>
  <r>
    <s v="P1131"/>
    <s v="Patient_132"/>
    <n v="78"/>
    <s v="Male"/>
    <x v="1"/>
    <s v="Dr. Iyer"/>
    <s v="Referral"/>
    <d v="2024-01-05T00:00:00"/>
    <d v="2024-02-19T00:00:00"/>
    <s v="General"/>
    <n v="4"/>
    <n v="87289"/>
    <n v="28772"/>
    <n v="18070"/>
    <n v="91829"/>
    <s v="Cash"/>
    <s v="HDFC Ergo"/>
    <s v="Referred"/>
  </r>
  <r>
    <s v="P1132"/>
    <s v="Patient_133"/>
    <n v="3"/>
    <s v="Male"/>
    <x v="2"/>
    <s v="Dr. Mehta"/>
    <s v="OPD"/>
    <d v="2024-09-22T00:00:00"/>
    <d v="2024-02-02T00:00:00"/>
    <s v="Private"/>
    <n v="14"/>
    <n v="121506"/>
    <n v="31857"/>
    <n v="29631"/>
    <n v="14364"/>
    <s v="Insurance"/>
    <s v="None"/>
    <s v="Under Treatment"/>
  </r>
  <r>
    <s v="P1133"/>
    <s v="Patient_134"/>
    <n v="1"/>
    <s v="Male"/>
    <x v="2"/>
    <s v="Dr. Patel"/>
    <s v="Referral"/>
    <d v="2024-12-10T00:00:00"/>
    <d v="2024-10-04T00:00:00"/>
    <s v="ICU"/>
    <n v="10"/>
    <n v="83513"/>
    <n v="11776"/>
    <n v="12892"/>
    <n v="136867"/>
    <s v="Card"/>
    <s v="None"/>
    <s v="Under Treatment"/>
  </r>
  <r>
    <s v="P1134"/>
    <s v="Patient_135"/>
    <n v="5"/>
    <s v="Female"/>
    <x v="4"/>
    <s v="Dr. Patel"/>
    <s v="Emergency"/>
    <d v="2024-05-09T00:00:00"/>
    <d v="2024-01-21T00:00:00"/>
    <s v="Private"/>
    <n v="3"/>
    <n v="155946"/>
    <n v="33835"/>
    <n v="12456"/>
    <n v="174421"/>
    <s v="Card"/>
    <s v="ICICI Lombard"/>
    <s v="Deceased"/>
  </r>
  <r>
    <s v="P1135"/>
    <s v="Patient_136"/>
    <n v="14"/>
    <s v="Female"/>
    <x v="1"/>
    <s v="Dr. Rao"/>
    <s v="OPD"/>
    <d v="2024-09-23T00:00:00"/>
    <d v="2024-06-03T00:00:00"/>
    <s v="General"/>
    <n v="3"/>
    <n v="187003"/>
    <n v="10788"/>
    <n v="16141"/>
    <n v="139763"/>
    <s v="Cash"/>
    <s v="None"/>
    <s v="Deceased"/>
  </r>
  <r>
    <s v="P1136"/>
    <s v="Patient_137"/>
    <n v="27"/>
    <s v="Female"/>
    <x v="3"/>
    <s v="Dr. Mehta"/>
    <s v="Referral"/>
    <d v="2024-06-26T00:00:00"/>
    <d v="2024-03-09T00:00:00"/>
    <s v="Semi-Private"/>
    <n v="15"/>
    <n v="143746"/>
    <n v="6660"/>
    <n v="14498"/>
    <n v="103598"/>
    <s v="Cash"/>
    <s v="New India Assurance"/>
    <s v="Deceased"/>
  </r>
  <r>
    <s v="P1137"/>
    <s v="Patient_138"/>
    <n v="9"/>
    <s v="Female"/>
    <x v="0"/>
    <s v="Dr. Mehta"/>
    <s v="OPD"/>
    <d v="2024-09-09T00:00:00"/>
    <d v="2025-01-01T00:00:00"/>
    <s v="ICU"/>
    <n v="6"/>
    <n v="55516"/>
    <n v="5478"/>
    <n v="6805"/>
    <n v="205539"/>
    <s v="Insurance"/>
    <s v="None"/>
    <s v="Recovered"/>
  </r>
  <r>
    <s v="P1138"/>
    <s v="Patient_139"/>
    <n v="79"/>
    <s v="Male"/>
    <x v="5"/>
    <s v="Dr. Iyer"/>
    <s v="Emergency"/>
    <d v="2024-02-25T00:00:00"/>
    <d v="2024-08-02T00:00:00"/>
    <s v="Semi-Private"/>
    <n v="17"/>
    <n v="196758"/>
    <n v="9210"/>
    <n v="19282"/>
    <n v="184968"/>
    <s v="UPI"/>
    <s v="New India Assurance"/>
    <s v="Under Treatment"/>
  </r>
  <r>
    <s v="P1139"/>
    <s v="Patient_140"/>
    <n v="15"/>
    <s v="Male"/>
    <x v="4"/>
    <s v="Dr. Singh"/>
    <s v="Referral"/>
    <d v="2024-03-23T00:00:00"/>
    <d v="2024-05-23T00:00:00"/>
    <s v="ICU"/>
    <n v="12"/>
    <n v="74212"/>
    <n v="11922"/>
    <n v="13221"/>
    <n v="65062"/>
    <s v="Cash"/>
    <s v="None"/>
    <s v="Under Treatment"/>
  </r>
  <r>
    <s v="P1140"/>
    <s v="Patient_141"/>
    <n v="42"/>
    <s v="Male"/>
    <x v="2"/>
    <s v="Dr. Patel"/>
    <s v="Emergency"/>
    <d v="2024-04-08T00:00:00"/>
    <d v="2024-08-20T00:00:00"/>
    <s v="Private"/>
    <n v="11"/>
    <n v="138498"/>
    <n v="37289"/>
    <n v="7495"/>
    <n v="236338"/>
    <s v="UPI"/>
    <s v="ICICI Lombard"/>
    <s v="Recovered"/>
  </r>
  <r>
    <s v="P1141"/>
    <s v="Patient_142"/>
    <n v="77"/>
    <s v="Female"/>
    <x v="0"/>
    <s v="Dr. Iyer"/>
    <s v="Emergency"/>
    <d v="2024-05-28T00:00:00"/>
    <d v="2024-08-01T00:00:00"/>
    <s v="Private"/>
    <n v="4"/>
    <n v="135970"/>
    <n v="34340"/>
    <n v="12927"/>
    <n v="218834"/>
    <s v="Insurance"/>
    <s v="New India Assurance"/>
    <s v="Recovered"/>
  </r>
  <r>
    <s v="P1142"/>
    <s v="Patient_143"/>
    <n v="51"/>
    <s v="Female"/>
    <x v="0"/>
    <s v="Dr. Sharma"/>
    <s v="OPD"/>
    <d v="2024-11-24T00:00:00"/>
    <d v="2024-03-20T00:00:00"/>
    <s v="Private"/>
    <n v="6"/>
    <n v="95009"/>
    <n v="40850"/>
    <n v="14282"/>
    <n v="152933"/>
    <s v="UPI"/>
    <s v="Star Health"/>
    <s v="Recovered"/>
  </r>
  <r>
    <s v="P1143"/>
    <s v="Patient_144"/>
    <n v="63"/>
    <s v="Male"/>
    <x v="5"/>
    <s v="Dr. Patel"/>
    <s v="Referral"/>
    <d v="2024-06-04T00:00:00"/>
    <d v="2024-08-02T00:00:00"/>
    <s v="Private"/>
    <n v="1"/>
    <n v="166015"/>
    <n v="39163"/>
    <n v="24183"/>
    <n v="235909"/>
    <s v="Card"/>
    <s v="New India Assurance"/>
    <s v="Under Treatment"/>
  </r>
  <r>
    <s v="P1144"/>
    <s v="Patient_145"/>
    <n v="52"/>
    <s v="Male"/>
    <x v="1"/>
    <s v="Dr. Iyer"/>
    <s v="Emergency"/>
    <d v="2024-07-08T00:00:00"/>
    <d v="2024-04-26T00:00:00"/>
    <s v="Private"/>
    <n v="16"/>
    <n v="49816"/>
    <n v="49175"/>
    <n v="21066"/>
    <n v="96302"/>
    <s v="UPI"/>
    <s v="ICICI Lombard"/>
    <s v="Under Treatment"/>
  </r>
  <r>
    <s v="P1145"/>
    <s v="Patient_146"/>
    <n v="4"/>
    <s v="Female"/>
    <x v="2"/>
    <s v="Dr. Patel"/>
    <s v="Emergency"/>
    <d v="2024-09-19T00:00:00"/>
    <d v="2024-04-02T00:00:00"/>
    <s v="Semi-Private"/>
    <n v="15"/>
    <n v="9138"/>
    <n v="19642"/>
    <n v="26787"/>
    <n v="240782"/>
    <s v="Insurance"/>
    <s v="New India Assurance"/>
    <s v="Deceased"/>
  </r>
  <r>
    <s v="P1146"/>
    <s v="Patient_147"/>
    <n v="23"/>
    <s v="Female"/>
    <x v="3"/>
    <s v="Dr. Singh"/>
    <s v="Referral"/>
    <d v="2024-03-20T00:00:00"/>
    <d v="2024-09-27T00:00:00"/>
    <s v="Private"/>
    <n v="17"/>
    <n v="96176"/>
    <n v="12094"/>
    <n v="2730"/>
    <n v="71928"/>
    <s v="Insurance"/>
    <s v="None"/>
    <s v="Deceased"/>
  </r>
  <r>
    <s v="P1147"/>
    <s v="Patient_148"/>
    <n v="15"/>
    <s v="Male"/>
    <x v="0"/>
    <s v="Dr. Sharma"/>
    <s v="Emergency"/>
    <d v="2024-09-08T00:00:00"/>
    <d v="2024-06-17T00:00:00"/>
    <s v="General"/>
    <n v="8"/>
    <n v="80945"/>
    <n v="23423"/>
    <n v="7011"/>
    <n v="245715"/>
    <s v="Insurance"/>
    <s v="None"/>
    <s v="Under Treatment"/>
  </r>
  <r>
    <s v="P1148"/>
    <s v="Patient_149"/>
    <n v="43"/>
    <s v="Male"/>
    <x v="5"/>
    <s v="Dr. Singh"/>
    <s v="Emergency"/>
    <d v="2024-04-06T00:00:00"/>
    <d v="2024-02-28T00:00:00"/>
    <s v="General"/>
    <n v="12"/>
    <n v="9017"/>
    <n v="34418"/>
    <n v="17012"/>
    <n v="222303"/>
    <s v="UPI"/>
    <s v="ICICI Lombard"/>
    <s v="Deceased"/>
  </r>
  <r>
    <s v="P1149"/>
    <s v="Patient_150"/>
    <n v="29"/>
    <s v="Female"/>
    <x v="3"/>
    <s v="Dr. Sharma"/>
    <s v="Referral"/>
    <d v="2024-09-16T00:00:00"/>
    <d v="2024-10-11T00:00:00"/>
    <s v="Semi-Private"/>
    <n v="10"/>
    <n v="15451"/>
    <n v="6741"/>
    <n v="9961"/>
    <n v="49347"/>
    <s v="Card"/>
    <s v="HDFC Ergo"/>
    <s v="Recovered"/>
  </r>
  <r>
    <s v="P1150"/>
    <s v="Patient_151"/>
    <n v="36"/>
    <s v="Male"/>
    <x v="1"/>
    <s v="Dr. Rao"/>
    <s v="Referral"/>
    <d v="2024-09-16T00:00:00"/>
    <d v="2024-01-27T00:00:00"/>
    <s v="ICU"/>
    <n v="15"/>
    <n v="199028"/>
    <n v="47049"/>
    <n v="20556"/>
    <n v="11121"/>
    <s v="Cash"/>
    <s v="None"/>
    <s v="Referred"/>
  </r>
  <r>
    <s v="P1151"/>
    <s v="Patient_152"/>
    <n v="13"/>
    <s v="Male"/>
    <x v="2"/>
    <s v="Dr. Iyer"/>
    <s v="Referral"/>
    <d v="2024-04-12T00:00:00"/>
    <d v="2025-01-04T00:00:00"/>
    <s v="General"/>
    <n v="9"/>
    <n v="98863"/>
    <n v="7838"/>
    <n v="26677"/>
    <n v="91793"/>
    <s v="Card"/>
    <s v="Star Health"/>
    <s v="Deceased"/>
  </r>
  <r>
    <s v="P1152"/>
    <s v="Patient_153"/>
    <n v="32"/>
    <s v="Male"/>
    <x v="1"/>
    <s v="Dr. Sharma"/>
    <s v="Referral"/>
    <d v="2024-02-09T00:00:00"/>
    <d v="2024-03-07T00:00:00"/>
    <s v="ICU"/>
    <n v="2"/>
    <n v="15278"/>
    <n v="4262"/>
    <n v="5265"/>
    <n v="36164"/>
    <s v="UPI"/>
    <s v="ICICI Lombard"/>
    <s v="Under Treatment"/>
  </r>
  <r>
    <s v="P1153"/>
    <s v="Patient_154"/>
    <n v="71"/>
    <s v="Female"/>
    <x v="0"/>
    <s v="Dr. Singh"/>
    <s v="OPD"/>
    <d v="2024-09-29T00:00:00"/>
    <d v="2024-09-05T00:00:00"/>
    <s v="Semi-Private"/>
    <n v="5"/>
    <n v="48764"/>
    <n v="5996"/>
    <n v="20854"/>
    <n v="33491"/>
    <s v="UPI"/>
    <s v="New India Assurance"/>
    <s v="Deceased"/>
  </r>
  <r>
    <s v="P1154"/>
    <s v="Patient_155"/>
    <n v="59"/>
    <s v="Female"/>
    <x v="3"/>
    <s v="Dr. Patel"/>
    <s v="Referral"/>
    <d v="2024-04-10T00:00:00"/>
    <d v="2024-09-11T00:00:00"/>
    <s v="ICU"/>
    <n v="6"/>
    <n v="128030"/>
    <n v="45594"/>
    <n v="24429"/>
    <n v="67222"/>
    <s v="Cash"/>
    <s v="New India Assurance"/>
    <s v="Deceased"/>
  </r>
  <r>
    <s v="P1155"/>
    <s v="Patient_156"/>
    <n v="86"/>
    <s v="Female"/>
    <x v="3"/>
    <s v="Dr. Sharma"/>
    <s v="OPD"/>
    <d v="2024-12-24T00:00:00"/>
    <d v="2024-02-14T00:00:00"/>
    <s v="ICU"/>
    <n v="7"/>
    <n v="137206"/>
    <n v="23164"/>
    <n v="29320"/>
    <n v="162237"/>
    <s v="UPI"/>
    <s v="Star Health"/>
    <s v="Deceased"/>
  </r>
  <r>
    <s v="P1156"/>
    <s v="Patient_157"/>
    <n v="28"/>
    <s v="Female"/>
    <x v="3"/>
    <s v="Dr. Iyer"/>
    <s v="OPD"/>
    <d v="2024-11-03T00:00:00"/>
    <d v="2024-04-07T00:00:00"/>
    <s v="ICU"/>
    <n v="1"/>
    <n v="67943"/>
    <n v="36595"/>
    <n v="13772"/>
    <n v="11748"/>
    <s v="Insurance"/>
    <s v="None"/>
    <s v="Referred"/>
  </r>
  <r>
    <s v="P1157"/>
    <s v="Patient_158"/>
    <n v="66"/>
    <s v="Female"/>
    <x v="0"/>
    <s v="Dr. Sharma"/>
    <s v="OPD"/>
    <d v="2024-08-08T00:00:00"/>
    <d v="2024-02-12T00:00:00"/>
    <s v="ICU"/>
    <n v="7"/>
    <n v="100667"/>
    <n v="31257"/>
    <n v="6052"/>
    <n v="237653"/>
    <s v="Insurance"/>
    <s v="ICICI Lombard"/>
    <s v="Recovered"/>
  </r>
  <r>
    <s v="P1158"/>
    <s v="Patient_159"/>
    <n v="42"/>
    <s v="Female"/>
    <x v="0"/>
    <s v="Dr. Mehta"/>
    <s v="Emergency"/>
    <d v="2024-11-03T00:00:00"/>
    <d v="2024-08-15T00:00:00"/>
    <s v="Semi-Private"/>
    <n v="12"/>
    <n v="59318"/>
    <n v="15211"/>
    <n v="1127"/>
    <n v="34553"/>
    <s v="Insurance"/>
    <s v="Star Health"/>
    <s v="Under Treatment"/>
  </r>
  <r>
    <s v="P1159"/>
    <s v="Patient_160"/>
    <n v="45"/>
    <s v="Female"/>
    <x v="1"/>
    <s v="Dr. Patel"/>
    <s v="OPD"/>
    <d v="2024-05-03T00:00:00"/>
    <d v="2024-09-19T00:00:00"/>
    <s v="General"/>
    <n v="16"/>
    <n v="108423"/>
    <n v="31453"/>
    <n v="12489"/>
    <n v="124547"/>
    <s v="Insurance"/>
    <s v="None"/>
    <s v="Referred"/>
  </r>
  <r>
    <s v="P1160"/>
    <s v="Patient_161"/>
    <n v="62"/>
    <s v="Male"/>
    <x v="4"/>
    <s v="Dr. Iyer"/>
    <s v="OPD"/>
    <d v="2024-08-18T00:00:00"/>
    <d v="2024-06-16T00:00:00"/>
    <s v="Private"/>
    <n v="16"/>
    <n v="108998"/>
    <n v="6232"/>
    <n v="14280"/>
    <n v="68380"/>
    <s v="Insurance"/>
    <s v="ICICI Lombard"/>
    <s v="Under Treatment"/>
  </r>
  <r>
    <s v="P1161"/>
    <s v="Patient_162"/>
    <n v="57"/>
    <s v="Male"/>
    <x v="1"/>
    <s v="Dr. Iyer"/>
    <s v="Emergency"/>
    <d v="2024-06-26T00:00:00"/>
    <d v="2024-10-06T00:00:00"/>
    <s v="ICU"/>
    <n v="11"/>
    <n v="65128"/>
    <n v="3217"/>
    <n v="7089"/>
    <n v="52331"/>
    <s v="UPI"/>
    <s v="New India Assurance"/>
    <s v="Under Treatment"/>
  </r>
  <r>
    <s v="P1162"/>
    <s v="Patient_163"/>
    <n v="6"/>
    <s v="Male"/>
    <x v="2"/>
    <s v="Dr. Rao"/>
    <s v="Emergency"/>
    <d v="2024-03-03T00:00:00"/>
    <d v="2024-03-30T00:00:00"/>
    <s v="General"/>
    <n v="4"/>
    <n v="26869"/>
    <n v="25229"/>
    <n v="2544"/>
    <n v="235105"/>
    <s v="Cash"/>
    <s v="ICICI Lombard"/>
    <s v="Under Treatment"/>
  </r>
  <r>
    <s v="P1163"/>
    <s v="Patient_164"/>
    <n v="28"/>
    <s v="Male"/>
    <x v="5"/>
    <s v="Dr. Singh"/>
    <s v="Emergency"/>
    <d v="2024-04-25T00:00:00"/>
    <d v="2024-06-27T00:00:00"/>
    <s v="General"/>
    <n v="13"/>
    <n v="10039"/>
    <n v="15232"/>
    <n v="28628"/>
    <n v="235916"/>
    <s v="Cash"/>
    <s v="HDFC Ergo"/>
    <s v="Referred"/>
  </r>
  <r>
    <s v="P1164"/>
    <s v="Patient_165"/>
    <n v="28"/>
    <s v="Male"/>
    <x v="3"/>
    <s v="Dr. Rao"/>
    <s v="Referral"/>
    <d v="2024-07-09T00:00:00"/>
    <d v="2024-07-16T00:00:00"/>
    <s v="Semi-Private"/>
    <n v="7"/>
    <n v="157353"/>
    <n v="26613"/>
    <n v="13671"/>
    <n v="128617"/>
    <s v="Insurance"/>
    <s v="ICICI Lombard"/>
    <s v="Recovered"/>
  </r>
  <r>
    <s v="P1165"/>
    <s v="Patient_166"/>
    <n v="44"/>
    <s v="Male"/>
    <x v="4"/>
    <s v="Dr. Iyer"/>
    <s v="Emergency"/>
    <d v="2024-03-02T00:00:00"/>
    <d v="2024-11-03T00:00:00"/>
    <s v="General"/>
    <n v="4"/>
    <n v="117935"/>
    <n v="15026"/>
    <n v="19225"/>
    <n v="47560"/>
    <s v="UPI"/>
    <s v="HDFC Ergo"/>
    <s v="Under Treatment"/>
  </r>
  <r>
    <s v="P1166"/>
    <s v="Patient_167"/>
    <n v="84"/>
    <s v="Male"/>
    <x v="5"/>
    <s v="Dr. Patel"/>
    <s v="Emergency"/>
    <d v="2024-09-12T00:00:00"/>
    <d v="2024-09-24T00:00:00"/>
    <s v="Semi-Private"/>
    <n v="15"/>
    <n v="15442"/>
    <n v="29554"/>
    <n v="6384"/>
    <n v="61865"/>
    <s v="Card"/>
    <s v="ICICI Lombard"/>
    <s v="Recovered"/>
  </r>
  <r>
    <s v="P1167"/>
    <s v="Patient_168"/>
    <n v="30"/>
    <s v="Female"/>
    <x v="4"/>
    <s v="Dr. Sharma"/>
    <s v="OPD"/>
    <d v="2024-01-07T00:00:00"/>
    <d v="2024-09-25T00:00:00"/>
    <s v="ICU"/>
    <n v="19"/>
    <n v="78788"/>
    <n v="31908"/>
    <n v="28290"/>
    <n v="185758"/>
    <s v="Card"/>
    <s v="HDFC Ergo"/>
    <s v="Recovered"/>
  </r>
  <r>
    <s v="P1168"/>
    <s v="Patient_169"/>
    <n v="62"/>
    <s v="Female"/>
    <x v="1"/>
    <s v="Dr. Sharma"/>
    <s v="Emergency"/>
    <d v="2024-06-03T00:00:00"/>
    <d v="2024-03-15T00:00:00"/>
    <s v="ICU"/>
    <n v="9"/>
    <n v="124729"/>
    <n v="20610"/>
    <n v="8685"/>
    <n v="83910"/>
    <s v="UPI"/>
    <s v="New India Assurance"/>
    <s v="Deceased"/>
  </r>
  <r>
    <s v="P1169"/>
    <s v="Patient_170"/>
    <n v="75"/>
    <s v="Male"/>
    <x v="0"/>
    <s v="Dr. Patel"/>
    <s v="Referral"/>
    <d v="2024-04-01T00:00:00"/>
    <d v="2024-01-09T00:00:00"/>
    <s v="Private"/>
    <n v="11"/>
    <n v="32586"/>
    <n v="47646"/>
    <n v="749"/>
    <n v="143747"/>
    <s v="Insurance"/>
    <s v="None"/>
    <s v="Referred"/>
  </r>
  <r>
    <s v="P1170"/>
    <s v="Patient_171"/>
    <n v="89"/>
    <s v="Male"/>
    <x v="3"/>
    <s v="Dr. Iyer"/>
    <s v="Emergency"/>
    <d v="2024-01-14T00:00:00"/>
    <d v="2024-10-24T00:00:00"/>
    <s v="Private"/>
    <n v="8"/>
    <n v="58053"/>
    <n v="40605"/>
    <n v="19809"/>
    <n v="205778"/>
    <s v="Cash"/>
    <s v="HDFC Ergo"/>
    <s v="Referred"/>
  </r>
  <r>
    <s v="P1171"/>
    <s v="Patient_172"/>
    <n v="62"/>
    <s v="Female"/>
    <x v="1"/>
    <s v="Dr. Sharma"/>
    <s v="Referral"/>
    <d v="2024-08-16T00:00:00"/>
    <d v="2024-06-13T00:00:00"/>
    <s v="Private"/>
    <n v="1"/>
    <n v="186561"/>
    <n v="8031"/>
    <n v="21927"/>
    <n v="246057"/>
    <s v="UPI"/>
    <s v="HDFC Ergo"/>
    <s v="Deceased"/>
  </r>
  <r>
    <s v="P1172"/>
    <s v="Patient_173"/>
    <n v="1"/>
    <s v="Male"/>
    <x v="5"/>
    <s v="Dr. Sharma"/>
    <s v="Emergency"/>
    <d v="2024-03-26T00:00:00"/>
    <d v="2024-03-26T00:00:00"/>
    <s v="General"/>
    <n v="8"/>
    <n v="91346"/>
    <n v="48574"/>
    <n v="17858"/>
    <n v="248093"/>
    <s v="Card"/>
    <s v="New India Assurance"/>
    <s v="Deceased"/>
  </r>
  <r>
    <s v="P1173"/>
    <s v="Patient_174"/>
    <n v="27"/>
    <s v="Male"/>
    <x v="5"/>
    <s v="Dr. Sharma"/>
    <s v="Emergency"/>
    <d v="2024-05-12T00:00:00"/>
    <d v="2024-03-13T00:00:00"/>
    <s v="ICU"/>
    <n v="13"/>
    <n v="72087"/>
    <n v="26515"/>
    <n v="26401"/>
    <n v="85986"/>
    <s v="Card"/>
    <s v="HDFC Ergo"/>
    <s v="Recovered"/>
  </r>
  <r>
    <s v="P1174"/>
    <s v="Patient_175"/>
    <n v="62"/>
    <s v="Female"/>
    <x v="5"/>
    <s v="Dr. Singh"/>
    <s v="Emergency"/>
    <d v="2024-07-01T00:00:00"/>
    <d v="2024-02-25T00:00:00"/>
    <s v="Semi-Private"/>
    <n v="4"/>
    <n v="148697"/>
    <n v="37484"/>
    <n v="24076"/>
    <n v="215288"/>
    <s v="Card"/>
    <s v="Star Health"/>
    <s v="Under Treatment"/>
  </r>
  <r>
    <s v="P1175"/>
    <s v="Patient_176"/>
    <n v="77"/>
    <s v="Male"/>
    <x v="5"/>
    <s v="Dr. Singh"/>
    <s v="Emergency"/>
    <d v="2024-03-02T00:00:00"/>
    <d v="2024-02-17T00:00:00"/>
    <s v="Private"/>
    <n v="8"/>
    <n v="39397"/>
    <n v="37182"/>
    <n v="9675"/>
    <n v="18068"/>
    <s v="Insurance"/>
    <s v="New India Assurance"/>
    <s v="Referred"/>
  </r>
  <r>
    <s v="P1176"/>
    <s v="Patient_177"/>
    <n v="3"/>
    <s v="Female"/>
    <x v="5"/>
    <s v="Dr. Mehta"/>
    <s v="Referral"/>
    <d v="2024-08-06T00:00:00"/>
    <d v="2024-08-26T00:00:00"/>
    <s v="Semi-Private"/>
    <n v="3"/>
    <n v="63671"/>
    <n v="1570"/>
    <n v="25964"/>
    <n v="62460"/>
    <s v="Card"/>
    <s v="Star Health"/>
    <s v="Under Treatment"/>
  </r>
  <r>
    <s v="P1177"/>
    <s v="Patient_178"/>
    <n v="70"/>
    <s v="Male"/>
    <x v="4"/>
    <s v="Dr. Rao"/>
    <s v="Referral"/>
    <d v="2024-09-02T00:00:00"/>
    <d v="2024-04-14T00:00:00"/>
    <s v="Semi-Private"/>
    <n v="9"/>
    <n v="121214"/>
    <n v="33254"/>
    <n v="28013"/>
    <n v="108766"/>
    <s v="UPI"/>
    <s v="New India Assurance"/>
    <s v="Under Treatment"/>
  </r>
  <r>
    <s v="P1178"/>
    <s v="Patient_179"/>
    <n v="72"/>
    <s v="Female"/>
    <x v="1"/>
    <s v="Dr. Patel"/>
    <s v="OPD"/>
    <d v="2024-08-17T00:00:00"/>
    <d v="2024-07-29T00:00:00"/>
    <s v="Private"/>
    <n v="2"/>
    <n v="71897"/>
    <n v="20288"/>
    <n v="16760"/>
    <n v="54418"/>
    <s v="UPI"/>
    <s v="HDFC Ergo"/>
    <s v="Deceased"/>
  </r>
  <r>
    <s v="P1179"/>
    <s v="Patient_180"/>
    <n v="27"/>
    <s v="Female"/>
    <x v="3"/>
    <s v="Dr. Patel"/>
    <s v="Referral"/>
    <d v="2024-03-19T00:00:00"/>
    <d v="2024-02-12T00:00:00"/>
    <s v="ICU"/>
    <n v="2"/>
    <n v="162221"/>
    <n v="14288"/>
    <n v="27193"/>
    <n v="34206"/>
    <s v="Card"/>
    <s v="Star Health"/>
    <s v="Under Treatment"/>
  </r>
  <r>
    <s v="P1180"/>
    <s v="Patient_181"/>
    <n v="9"/>
    <s v="Female"/>
    <x v="0"/>
    <s v="Dr. Patel"/>
    <s v="Emergency"/>
    <d v="2024-05-28T00:00:00"/>
    <d v="2024-11-12T00:00:00"/>
    <s v="Private"/>
    <n v="13"/>
    <n v="196102"/>
    <n v="30877"/>
    <n v="3172"/>
    <n v="136180"/>
    <s v="UPI"/>
    <s v="HDFC Ergo"/>
    <s v="Recovered"/>
  </r>
  <r>
    <s v="P1181"/>
    <s v="Patient_182"/>
    <n v="62"/>
    <s v="Male"/>
    <x v="0"/>
    <s v="Dr. Mehta"/>
    <s v="OPD"/>
    <d v="2024-05-17T00:00:00"/>
    <d v="2024-09-25T00:00:00"/>
    <s v="Semi-Private"/>
    <n v="15"/>
    <n v="141355"/>
    <n v="19889"/>
    <n v="7779"/>
    <n v="8287"/>
    <s v="Card"/>
    <s v="New India Assurance"/>
    <s v="Deceased"/>
  </r>
  <r>
    <s v="P1182"/>
    <s v="Patient_183"/>
    <n v="37"/>
    <s v="Female"/>
    <x v="1"/>
    <s v="Dr. Singh"/>
    <s v="OPD"/>
    <d v="2024-11-09T00:00:00"/>
    <d v="2024-09-20T00:00:00"/>
    <s v="Private"/>
    <n v="12"/>
    <n v="143682"/>
    <n v="1917"/>
    <n v="24415"/>
    <n v="30337"/>
    <s v="Card"/>
    <s v="HDFC Ergo"/>
    <s v="Under Treatment"/>
  </r>
  <r>
    <s v="P1183"/>
    <s v="Patient_184"/>
    <n v="51"/>
    <s v="Male"/>
    <x v="1"/>
    <s v="Dr. Iyer"/>
    <s v="OPD"/>
    <d v="2024-03-05T00:00:00"/>
    <d v="2024-12-02T00:00:00"/>
    <s v="Semi-Private"/>
    <n v="4"/>
    <n v="179398"/>
    <n v="11066"/>
    <n v="26402"/>
    <n v="159738"/>
    <s v="Cash"/>
    <s v="Star Health"/>
    <s v="Deceased"/>
  </r>
  <r>
    <s v="P1184"/>
    <s v="Patient_185"/>
    <n v="44"/>
    <s v="Male"/>
    <x v="0"/>
    <s v="Dr. Iyer"/>
    <s v="Emergency"/>
    <d v="2024-01-13T00:00:00"/>
    <d v="2024-12-31T00:00:00"/>
    <s v="Semi-Private"/>
    <n v="8"/>
    <n v="19924"/>
    <n v="30504"/>
    <n v="9162"/>
    <n v="140233"/>
    <s v="Insurance"/>
    <s v="Star Health"/>
    <s v="Recovered"/>
  </r>
  <r>
    <s v="P1185"/>
    <s v="Patient_186"/>
    <n v="24"/>
    <s v="Male"/>
    <x v="0"/>
    <s v="Dr. Mehta"/>
    <s v="Referral"/>
    <d v="2024-07-31T00:00:00"/>
    <d v="2024-09-16T00:00:00"/>
    <s v="Private"/>
    <n v="9"/>
    <n v="118143"/>
    <n v="7982"/>
    <n v="2487"/>
    <n v="108667"/>
    <s v="Insurance"/>
    <s v="HDFC Ergo"/>
    <s v="Recovered"/>
  </r>
  <r>
    <s v="P1186"/>
    <s v="Patient_187"/>
    <n v="79"/>
    <s v="Male"/>
    <x v="4"/>
    <s v="Dr. Iyer"/>
    <s v="Emergency"/>
    <d v="2024-08-29T00:00:00"/>
    <d v="2024-10-10T00:00:00"/>
    <s v="General"/>
    <n v="5"/>
    <n v="115253"/>
    <n v="40104"/>
    <n v="16974"/>
    <n v="98071"/>
    <s v="Cash"/>
    <s v="ICICI Lombard"/>
    <s v="Under Treatment"/>
  </r>
  <r>
    <s v="P1187"/>
    <s v="Patient_188"/>
    <n v="59"/>
    <s v="Female"/>
    <x v="2"/>
    <s v="Dr. Patel"/>
    <s v="OPD"/>
    <d v="2024-07-31T00:00:00"/>
    <d v="2024-04-24T00:00:00"/>
    <s v="Private"/>
    <n v="18"/>
    <n v="105297"/>
    <n v="19062"/>
    <n v="25605"/>
    <n v="106064"/>
    <s v="Cash"/>
    <s v="New India Assurance"/>
    <s v="Deceased"/>
  </r>
  <r>
    <s v="P1188"/>
    <s v="Patient_189"/>
    <n v="32"/>
    <s v="Female"/>
    <x v="3"/>
    <s v="Dr. Rao"/>
    <s v="Emergency"/>
    <d v="2024-06-29T00:00:00"/>
    <d v="2024-12-29T00:00:00"/>
    <s v="General"/>
    <n v="11"/>
    <n v="5869"/>
    <n v="17999"/>
    <n v="13448"/>
    <n v="177823"/>
    <s v="Insurance"/>
    <s v="New India Assurance"/>
    <s v="Under Treatment"/>
  </r>
  <r>
    <s v="P1189"/>
    <s v="Patient_190"/>
    <n v="88"/>
    <s v="Male"/>
    <x v="5"/>
    <s v="Dr. Sharma"/>
    <s v="Emergency"/>
    <d v="2024-12-03T00:00:00"/>
    <d v="2024-02-10T00:00:00"/>
    <s v="Semi-Private"/>
    <n v="15"/>
    <n v="102088"/>
    <n v="10941"/>
    <n v="20943"/>
    <n v="221135"/>
    <s v="Card"/>
    <s v="HDFC Ergo"/>
    <s v="Under Treatment"/>
  </r>
  <r>
    <s v="P1190"/>
    <s v="Patient_191"/>
    <n v="52"/>
    <s v="Male"/>
    <x v="2"/>
    <s v="Dr. Singh"/>
    <s v="Referral"/>
    <d v="2024-06-21T00:00:00"/>
    <d v="2024-08-08T00:00:00"/>
    <s v="Semi-Private"/>
    <n v="9"/>
    <n v="6014"/>
    <n v="24470"/>
    <n v="13526"/>
    <n v="114511"/>
    <s v="Card"/>
    <s v="ICICI Lombard"/>
    <s v="Deceased"/>
  </r>
  <r>
    <s v="P1191"/>
    <s v="Patient_192"/>
    <n v="62"/>
    <s v="Female"/>
    <x v="1"/>
    <s v="Dr. Singh"/>
    <s v="Referral"/>
    <d v="2024-06-08T00:00:00"/>
    <d v="2024-05-09T00:00:00"/>
    <s v="General"/>
    <n v="17"/>
    <n v="15103"/>
    <n v="46148"/>
    <n v="3273"/>
    <n v="228461"/>
    <s v="Insurance"/>
    <s v="Star Health"/>
    <s v="Under Treatment"/>
  </r>
  <r>
    <s v="P1192"/>
    <s v="Patient_193"/>
    <n v="58"/>
    <s v="Male"/>
    <x v="0"/>
    <s v="Dr. Mehta"/>
    <s v="OPD"/>
    <d v="2024-06-12T00:00:00"/>
    <d v="2024-01-09T00:00:00"/>
    <s v="Semi-Private"/>
    <n v="12"/>
    <n v="115317"/>
    <n v="22133"/>
    <n v="13659"/>
    <n v="153830"/>
    <s v="Card"/>
    <s v="None"/>
    <s v="Recovered"/>
  </r>
  <r>
    <s v="P1193"/>
    <s v="Patient_194"/>
    <n v="52"/>
    <s v="Female"/>
    <x v="2"/>
    <s v="Dr. Singh"/>
    <s v="Emergency"/>
    <d v="2024-07-06T00:00:00"/>
    <d v="2024-04-11T00:00:00"/>
    <s v="General"/>
    <n v="7"/>
    <n v="169530"/>
    <n v="45435"/>
    <n v="10378"/>
    <n v="204852"/>
    <s v="Cash"/>
    <s v="None"/>
    <s v="Deceased"/>
  </r>
  <r>
    <s v="P1194"/>
    <s v="Patient_195"/>
    <n v="12"/>
    <s v="Male"/>
    <x v="3"/>
    <s v="Dr. Patel"/>
    <s v="Emergency"/>
    <d v="2024-07-09T00:00:00"/>
    <d v="2024-06-25T00:00:00"/>
    <s v="General"/>
    <n v="10"/>
    <n v="87409"/>
    <n v="5529"/>
    <n v="25267"/>
    <n v="11178"/>
    <s v="Card"/>
    <s v="HDFC Ergo"/>
    <s v="Deceased"/>
  </r>
  <r>
    <s v="P1195"/>
    <s v="Patient_196"/>
    <n v="39"/>
    <s v="Male"/>
    <x v="1"/>
    <s v="Dr. Iyer"/>
    <s v="Referral"/>
    <d v="2024-11-03T00:00:00"/>
    <d v="2024-04-17T00:00:00"/>
    <s v="Semi-Private"/>
    <n v="10"/>
    <n v="28248"/>
    <n v="18519"/>
    <n v="10678"/>
    <n v="39831"/>
    <s v="Card"/>
    <s v="ICICI Lombard"/>
    <s v="Deceased"/>
  </r>
  <r>
    <s v="P1196"/>
    <s v="Patient_197"/>
    <n v="2"/>
    <s v="Female"/>
    <x v="5"/>
    <s v="Dr. Patel"/>
    <s v="Emergency"/>
    <d v="2024-09-12T00:00:00"/>
    <d v="2024-04-11T00:00:00"/>
    <s v="ICU"/>
    <n v="13"/>
    <n v="179588"/>
    <n v="13192"/>
    <n v="28699"/>
    <n v="141248"/>
    <s v="UPI"/>
    <s v="ICICI Lombard"/>
    <s v="Deceased"/>
  </r>
  <r>
    <s v="P1197"/>
    <s v="Patient_198"/>
    <n v="3"/>
    <s v="Male"/>
    <x v="5"/>
    <s v="Dr. Mehta"/>
    <s v="Emergency"/>
    <d v="2024-07-01T00:00:00"/>
    <d v="2024-09-17T00:00:00"/>
    <s v="General"/>
    <n v="19"/>
    <n v="165133"/>
    <n v="9566"/>
    <n v="24293"/>
    <n v="111306"/>
    <s v="UPI"/>
    <s v="New India Assurance"/>
    <s v="Under Treatment"/>
  </r>
  <r>
    <s v="P1198"/>
    <s v="Patient_199"/>
    <n v="56"/>
    <s v="Female"/>
    <x v="3"/>
    <s v="Dr. Patel"/>
    <s v="Emergency"/>
    <d v="2024-04-26T00:00:00"/>
    <d v="2025-01-01T00:00:00"/>
    <s v="Private"/>
    <n v="11"/>
    <n v="160242"/>
    <n v="8226"/>
    <n v="10877"/>
    <n v="172726"/>
    <s v="UPI"/>
    <s v="Star Health"/>
    <s v="Under Treatment"/>
  </r>
  <r>
    <s v="P1199"/>
    <s v="Patient_200"/>
    <n v="81"/>
    <s v="Male"/>
    <x v="3"/>
    <s v="Dr. Iyer"/>
    <s v="Referral"/>
    <d v="2024-10-08T00:00:00"/>
    <d v="2024-09-03T00:00:00"/>
    <s v="Private"/>
    <n v="13"/>
    <n v="13024"/>
    <n v="38930"/>
    <n v="21324"/>
    <n v="165699"/>
    <s v="Card"/>
    <s v="ICICI Lombard"/>
    <s v="Recovered"/>
  </r>
  <r>
    <s v="P1200"/>
    <s v="Patient_201"/>
    <n v="59"/>
    <s v="Male"/>
    <x v="0"/>
    <s v="Dr. Rao"/>
    <s v="OPD"/>
    <d v="2024-07-14T00:00:00"/>
    <d v="2024-10-02T00:00:00"/>
    <s v="Semi-Private"/>
    <n v="8"/>
    <n v="90947"/>
    <n v="22259"/>
    <n v="7847"/>
    <n v="191622"/>
    <s v="Insurance"/>
    <s v="None"/>
    <s v="Referred"/>
  </r>
  <r>
    <s v="P1201"/>
    <s v="Patient_202"/>
    <n v="2"/>
    <s v="Male"/>
    <x v="5"/>
    <s v="Dr. Mehta"/>
    <s v="OPD"/>
    <d v="2024-02-03T00:00:00"/>
    <d v="2024-02-02T00:00:00"/>
    <s v="ICU"/>
    <n v="8"/>
    <n v="179875"/>
    <n v="35087"/>
    <n v="1508"/>
    <n v="120025"/>
    <s v="Cash"/>
    <s v="Star Health"/>
    <s v="Referred"/>
  </r>
  <r>
    <s v="P1202"/>
    <s v="Patient_203"/>
    <n v="2"/>
    <s v="Female"/>
    <x v="1"/>
    <s v="Dr. Rao"/>
    <s v="Emergency"/>
    <d v="2024-02-21T00:00:00"/>
    <d v="2024-05-17T00:00:00"/>
    <s v="Semi-Private"/>
    <n v="4"/>
    <n v="155368"/>
    <n v="2141"/>
    <n v="4283"/>
    <n v="183982"/>
    <s v="Card"/>
    <s v="Star Health"/>
    <s v="Recovered"/>
  </r>
  <r>
    <s v="P1203"/>
    <s v="Patient_204"/>
    <n v="54"/>
    <s v="Male"/>
    <x v="2"/>
    <s v="Dr. Sharma"/>
    <s v="OPD"/>
    <d v="2024-04-21T00:00:00"/>
    <d v="2024-01-13T00:00:00"/>
    <s v="ICU"/>
    <n v="15"/>
    <n v="96829"/>
    <n v="5627"/>
    <n v="23530"/>
    <n v="98417"/>
    <s v="Insurance"/>
    <s v="HDFC Ergo"/>
    <s v="Referred"/>
  </r>
  <r>
    <s v="P1204"/>
    <s v="Patient_205"/>
    <n v="87"/>
    <s v="Male"/>
    <x v="1"/>
    <s v="Dr. Rao"/>
    <s v="Referral"/>
    <d v="2024-09-08T00:00:00"/>
    <d v="2024-10-29T00:00:00"/>
    <s v="General"/>
    <n v="11"/>
    <n v="97708"/>
    <n v="48269"/>
    <n v="4798"/>
    <n v="197323"/>
    <s v="Card"/>
    <s v="ICICI Lombard"/>
    <s v="Recovered"/>
  </r>
  <r>
    <s v="P1205"/>
    <s v="Patient_206"/>
    <n v="1"/>
    <s v="Male"/>
    <x v="4"/>
    <s v="Dr. Sharma"/>
    <s v="Referral"/>
    <d v="2024-03-22T00:00:00"/>
    <d v="2024-01-17T00:00:00"/>
    <s v="General"/>
    <n v="11"/>
    <n v="91664"/>
    <n v="3690"/>
    <n v="5168"/>
    <n v="174494"/>
    <s v="Cash"/>
    <s v="HDFC Ergo"/>
    <s v="Under Treatment"/>
  </r>
  <r>
    <s v="P1206"/>
    <s v="Patient_207"/>
    <n v="19"/>
    <s v="Male"/>
    <x v="4"/>
    <s v="Dr. Sharma"/>
    <s v="OPD"/>
    <d v="2024-08-19T00:00:00"/>
    <d v="2024-05-09T00:00:00"/>
    <s v="General"/>
    <n v="1"/>
    <n v="154329"/>
    <n v="41091"/>
    <n v="21171"/>
    <n v="19984"/>
    <s v="Card"/>
    <s v="ICICI Lombard"/>
    <s v="Deceased"/>
  </r>
  <r>
    <s v="P1207"/>
    <s v="Patient_208"/>
    <n v="2"/>
    <s v="Female"/>
    <x v="3"/>
    <s v="Dr. Rao"/>
    <s v="OPD"/>
    <d v="2024-08-14T00:00:00"/>
    <d v="2024-03-04T00:00:00"/>
    <s v="General"/>
    <n v="17"/>
    <n v="148927"/>
    <n v="4255"/>
    <n v="2552"/>
    <n v="97312"/>
    <s v="Cash"/>
    <s v="New India Assurance"/>
    <s v="Deceased"/>
  </r>
  <r>
    <s v="P1208"/>
    <s v="Patient_209"/>
    <n v="53"/>
    <s v="Female"/>
    <x v="0"/>
    <s v="Dr. Mehta"/>
    <s v="Emergency"/>
    <d v="2024-08-20T00:00:00"/>
    <d v="2024-04-19T00:00:00"/>
    <s v="Private"/>
    <n v="15"/>
    <n v="90178"/>
    <n v="6213"/>
    <n v="22893"/>
    <n v="200458"/>
    <s v="Card"/>
    <s v="HDFC Ergo"/>
    <s v="Under Treatment"/>
  </r>
  <r>
    <s v="P1209"/>
    <s v="Patient_210"/>
    <n v="44"/>
    <s v="Male"/>
    <x v="4"/>
    <s v="Dr. Iyer"/>
    <s v="OPD"/>
    <d v="2024-08-08T00:00:00"/>
    <d v="2024-01-22T00:00:00"/>
    <s v="Private"/>
    <n v="6"/>
    <n v="106121"/>
    <n v="37876"/>
    <n v="28384"/>
    <n v="91291"/>
    <s v="Cash"/>
    <s v="HDFC Ergo"/>
    <s v="Deceased"/>
  </r>
  <r>
    <s v="P1210"/>
    <s v="Patient_211"/>
    <n v="32"/>
    <s v="Female"/>
    <x v="5"/>
    <s v="Dr. Patel"/>
    <s v="Emergency"/>
    <d v="2024-02-11T00:00:00"/>
    <d v="2024-06-07T00:00:00"/>
    <s v="Semi-Private"/>
    <n v="15"/>
    <n v="25025"/>
    <n v="20404"/>
    <n v="2216"/>
    <n v="15135"/>
    <s v="Card"/>
    <s v="None"/>
    <s v="Deceased"/>
  </r>
  <r>
    <s v="P1211"/>
    <s v="Patient_212"/>
    <n v="70"/>
    <s v="Male"/>
    <x v="1"/>
    <s v="Dr. Patel"/>
    <s v="Emergency"/>
    <d v="2024-01-21T00:00:00"/>
    <d v="2024-09-26T00:00:00"/>
    <s v="ICU"/>
    <n v="9"/>
    <n v="140530"/>
    <n v="26380"/>
    <n v="810"/>
    <n v="8320"/>
    <s v="Cash"/>
    <s v="HDFC Ergo"/>
    <s v="Referred"/>
  </r>
  <r>
    <s v="P1212"/>
    <s v="Patient_213"/>
    <n v="32"/>
    <s v="Male"/>
    <x v="1"/>
    <s v="Dr. Iyer"/>
    <s v="Referral"/>
    <d v="2024-02-11T00:00:00"/>
    <d v="2024-06-11T00:00:00"/>
    <s v="General"/>
    <n v="14"/>
    <n v="68610"/>
    <n v="26520"/>
    <n v="14891"/>
    <n v="242030"/>
    <s v="UPI"/>
    <s v="ICICI Lombard"/>
    <s v="Under Treatment"/>
  </r>
  <r>
    <s v="P1213"/>
    <s v="Patient_214"/>
    <n v="68"/>
    <s v="Male"/>
    <x v="3"/>
    <s v="Dr. Sharma"/>
    <s v="Referral"/>
    <d v="2024-04-22T00:00:00"/>
    <d v="2024-09-17T00:00:00"/>
    <s v="General"/>
    <n v="18"/>
    <n v="75843"/>
    <n v="20173"/>
    <n v="21422"/>
    <n v="233243"/>
    <s v="Card"/>
    <s v="None"/>
    <s v="Referred"/>
  </r>
  <r>
    <s v="P1214"/>
    <s v="Patient_215"/>
    <n v="55"/>
    <s v="Female"/>
    <x v="2"/>
    <s v="Dr. Sharma"/>
    <s v="Referral"/>
    <d v="2024-04-14T00:00:00"/>
    <d v="2024-04-12T00:00:00"/>
    <s v="ICU"/>
    <n v="17"/>
    <n v="112237"/>
    <n v="24989"/>
    <n v="1760"/>
    <n v="160756"/>
    <s v="Card"/>
    <s v="HDFC Ergo"/>
    <s v="Referred"/>
  </r>
  <r>
    <s v="P1215"/>
    <s v="Patient_216"/>
    <n v="75"/>
    <s v="Female"/>
    <x v="3"/>
    <s v="Dr. Mehta"/>
    <s v="Referral"/>
    <d v="2024-07-10T00:00:00"/>
    <d v="2024-08-11T00:00:00"/>
    <s v="ICU"/>
    <n v="18"/>
    <n v="185903"/>
    <n v="43570"/>
    <n v="13657"/>
    <n v="194985"/>
    <s v="Insurance"/>
    <s v="HDFC Ergo"/>
    <s v="Deceased"/>
  </r>
  <r>
    <s v="P1216"/>
    <s v="Patient_217"/>
    <n v="56"/>
    <s v="Female"/>
    <x v="2"/>
    <s v="Dr. Singh"/>
    <s v="OPD"/>
    <d v="2024-01-17T00:00:00"/>
    <d v="2024-02-29T00:00:00"/>
    <s v="Semi-Private"/>
    <n v="5"/>
    <n v="179499"/>
    <n v="25519"/>
    <n v="20816"/>
    <n v="96774"/>
    <s v="Insurance"/>
    <s v="New India Assurance"/>
    <s v="Deceased"/>
  </r>
  <r>
    <s v="P1217"/>
    <s v="Patient_218"/>
    <n v="17"/>
    <s v="Female"/>
    <x v="3"/>
    <s v="Dr. Rao"/>
    <s v="Referral"/>
    <d v="2024-04-29T00:00:00"/>
    <d v="2024-09-04T00:00:00"/>
    <s v="ICU"/>
    <n v="9"/>
    <n v="135299"/>
    <n v="23439"/>
    <n v="11960"/>
    <n v="160961"/>
    <s v="Cash"/>
    <s v="HDFC Ergo"/>
    <s v="Under Treatment"/>
  </r>
  <r>
    <s v="P1218"/>
    <s v="Patient_219"/>
    <n v="38"/>
    <s v="Female"/>
    <x v="3"/>
    <s v="Dr. Sharma"/>
    <s v="OPD"/>
    <d v="2024-05-08T00:00:00"/>
    <d v="2024-05-08T00:00:00"/>
    <s v="General"/>
    <n v="11"/>
    <n v="174578"/>
    <n v="12413"/>
    <n v="17468"/>
    <n v="234921"/>
    <s v="Card"/>
    <s v="Star Health"/>
    <s v="Deceased"/>
  </r>
  <r>
    <s v="P1219"/>
    <s v="Patient_220"/>
    <n v="24"/>
    <s v="Female"/>
    <x v="3"/>
    <s v="Dr. Patel"/>
    <s v="Referral"/>
    <d v="2024-05-09T00:00:00"/>
    <d v="2024-10-10T00:00:00"/>
    <s v="General"/>
    <n v="1"/>
    <n v="10668"/>
    <n v="15995"/>
    <n v="27875"/>
    <n v="106071"/>
    <s v="Cash"/>
    <s v="None"/>
    <s v="Deceased"/>
  </r>
  <r>
    <s v="P1220"/>
    <s v="Patient_221"/>
    <n v="69"/>
    <s v="Female"/>
    <x v="2"/>
    <s v="Dr. Mehta"/>
    <s v="OPD"/>
    <d v="2024-02-29T00:00:00"/>
    <d v="2024-11-21T00:00:00"/>
    <s v="General"/>
    <n v="18"/>
    <n v="183267"/>
    <n v="24559"/>
    <n v="24500"/>
    <n v="187971"/>
    <s v="UPI"/>
    <s v="Star Health"/>
    <s v="Under Treatment"/>
  </r>
  <r>
    <s v="P1221"/>
    <s v="Patient_222"/>
    <n v="70"/>
    <s v="Female"/>
    <x v="2"/>
    <s v="Dr. Rao"/>
    <s v="Emergency"/>
    <d v="2024-02-17T00:00:00"/>
    <d v="2024-01-26T00:00:00"/>
    <s v="General"/>
    <n v="6"/>
    <n v="78233"/>
    <n v="46351"/>
    <n v="25435"/>
    <n v="149842"/>
    <s v="Insurance"/>
    <s v="None"/>
    <s v="Deceased"/>
  </r>
  <r>
    <s v="P1222"/>
    <s v="Patient_223"/>
    <n v="86"/>
    <s v="Female"/>
    <x v="3"/>
    <s v="Dr. Mehta"/>
    <s v="OPD"/>
    <d v="2024-01-29T00:00:00"/>
    <d v="2024-05-11T00:00:00"/>
    <s v="General"/>
    <n v="2"/>
    <n v="160489"/>
    <n v="24513"/>
    <n v="14511"/>
    <n v="178393"/>
    <s v="Cash"/>
    <s v="New India Assurance"/>
    <s v="Referred"/>
  </r>
  <r>
    <s v="P1223"/>
    <s v="Patient_224"/>
    <n v="11"/>
    <s v="Male"/>
    <x v="4"/>
    <s v="Dr. Rao"/>
    <s v="OPD"/>
    <d v="2024-04-06T00:00:00"/>
    <d v="2024-12-19T00:00:00"/>
    <s v="Semi-Private"/>
    <n v="15"/>
    <n v="86982"/>
    <n v="6021"/>
    <n v="3366"/>
    <n v="225034"/>
    <s v="Cash"/>
    <s v="HDFC Ergo"/>
    <s v="Under Treatment"/>
  </r>
  <r>
    <s v="P1224"/>
    <s v="Patient_225"/>
    <n v="16"/>
    <s v="Female"/>
    <x v="0"/>
    <s v="Dr. Rao"/>
    <s v="Referral"/>
    <d v="2024-01-10T00:00:00"/>
    <d v="2024-07-15T00:00:00"/>
    <s v="General"/>
    <n v="14"/>
    <n v="111133"/>
    <n v="33464"/>
    <n v="14865"/>
    <n v="117863"/>
    <s v="Insurance"/>
    <s v="HDFC Ergo"/>
    <s v="Deceased"/>
  </r>
  <r>
    <s v="P1225"/>
    <s v="Patient_226"/>
    <n v="73"/>
    <s v="Female"/>
    <x v="0"/>
    <s v="Dr. Iyer"/>
    <s v="OPD"/>
    <d v="2024-08-29T00:00:00"/>
    <d v="2024-10-08T00:00:00"/>
    <s v="Semi-Private"/>
    <n v="5"/>
    <n v="15751"/>
    <n v="22119"/>
    <n v="6398"/>
    <n v="49777"/>
    <s v="Card"/>
    <s v="HDFC Ergo"/>
    <s v="Recovered"/>
  </r>
  <r>
    <s v="P1226"/>
    <s v="Patient_227"/>
    <n v="59"/>
    <s v="Female"/>
    <x v="0"/>
    <s v="Dr. Sharma"/>
    <s v="Emergency"/>
    <d v="2024-11-09T00:00:00"/>
    <d v="2024-06-03T00:00:00"/>
    <s v="General"/>
    <n v="6"/>
    <n v="51218"/>
    <n v="30299"/>
    <n v="18895"/>
    <n v="54250"/>
    <s v="Cash"/>
    <s v="None"/>
    <s v="Under Treatment"/>
  </r>
  <r>
    <s v="P1227"/>
    <s v="Patient_228"/>
    <n v="70"/>
    <s v="Female"/>
    <x v="2"/>
    <s v="Dr. Mehta"/>
    <s v="Emergency"/>
    <d v="2024-08-19T00:00:00"/>
    <d v="2024-05-13T00:00:00"/>
    <s v="Private"/>
    <n v="6"/>
    <n v="131649"/>
    <n v="40350"/>
    <n v="6751"/>
    <n v="81034"/>
    <s v="Insurance"/>
    <s v="HDFC Ergo"/>
    <s v="Under Treatment"/>
  </r>
  <r>
    <s v="P1228"/>
    <s v="Patient_229"/>
    <n v="80"/>
    <s v="Female"/>
    <x v="2"/>
    <s v="Dr. Mehta"/>
    <s v="Referral"/>
    <d v="2024-10-03T00:00:00"/>
    <d v="2024-08-15T00:00:00"/>
    <s v="Private"/>
    <n v="18"/>
    <n v="12352"/>
    <n v="47223"/>
    <n v="5439"/>
    <n v="112940"/>
    <s v="Card"/>
    <s v="Star Health"/>
    <s v="Recovered"/>
  </r>
  <r>
    <s v="P1229"/>
    <s v="Patient_230"/>
    <n v="3"/>
    <s v="Female"/>
    <x v="4"/>
    <s v="Dr. Iyer"/>
    <s v="Emergency"/>
    <d v="2024-10-10T00:00:00"/>
    <d v="2024-07-08T00:00:00"/>
    <s v="Private"/>
    <n v="14"/>
    <n v="93835"/>
    <n v="26517"/>
    <n v="4506"/>
    <n v="48130"/>
    <s v="UPI"/>
    <s v="HDFC Ergo"/>
    <s v="Deceased"/>
  </r>
  <r>
    <s v="P1230"/>
    <s v="Patient_231"/>
    <n v="20"/>
    <s v="Female"/>
    <x v="0"/>
    <s v="Dr. Patel"/>
    <s v="OPD"/>
    <d v="2024-07-21T00:00:00"/>
    <d v="2024-09-22T00:00:00"/>
    <s v="Private"/>
    <n v="10"/>
    <n v="102493"/>
    <n v="14117"/>
    <n v="2125"/>
    <n v="221003"/>
    <s v="Insurance"/>
    <s v="New India Assurance"/>
    <s v="Deceased"/>
  </r>
  <r>
    <s v="P1231"/>
    <s v="Patient_232"/>
    <n v="59"/>
    <s v="Female"/>
    <x v="0"/>
    <s v="Dr. Patel"/>
    <s v="Emergency"/>
    <d v="2024-09-03T00:00:00"/>
    <d v="2024-05-14T00:00:00"/>
    <s v="Semi-Private"/>
    <n v="14"/>
    <n v="33927"/>
    <n v="23250"/>
    <n v="11456"/>
    <n v="188418"/>
    <s v="Cash"/>
    <s v="Star Health"/>
    <s v="Under Treatment"/>
  </r>
  <r>
    <s v="P1232"/>
    <s v="Patient_233"/>
    <n v="36"/>
    <s v="Female"/>
    <x v="3"/>
    <s v="Dr. Sharma"/>
    <s v="Referral"/>
    <d v="2024-10-16T00:00:00"/>
    <d v="2024-07-30T00:00:00"/>
    <s v="Semi-Private"/>
    <n v="13"/>
    <n v="177166"/>
    <n v="19950"/>
    <n v="17774"/>
    <n v="141609"/>
    <s v="UPI"/>
    <s v="HDFC Ergo"/>
    <s v="Under Treatment"/>
  </r>
  <r>
    <s v="P1233"/>
    <s v="Patient_234"/>
    <n v="19"/>
    <s v="Female"/>
    <x v="2"/>
    <s v="Dr. Sharma"/>
    <s v="OPD"/>
    <d v="2024-09-20T00:00:00"/>
    <d v="2024-03-01T00:00:00"/>
    <s v="ICU"/>
    <n v="3"/>
    <n v="106948"/>
    <n v="18359"/>
    <n v="6578"/>
    <n v="223834"/>
    <s v="Card"/>
    <s v="HDFC Ergo"/>
    <s v="Deceased"/>
  </r>
  <r>
    <s v="P1234"/>
    <s v="Patient_235"/>
    <n v="67"/>
    <s v="Female"/>
    <x v="0"/>
    <s v="Dr. Singh"/>
    <s v="Referral"/>
    <d v="2024-08-01T00:00:00"/>
    <d v="2024-12-30T00:00:00"/>
    <s v="General"/>
    <n v="6"/>
    <n v="190194"/>
    <n v="24596"/>
    <n v="23920"/>
    <n v="23216"/>
    <s v="Card"/>
    <s v="ICICI Lombard"/>
    <s v="Deceased"/>
  </r>
  <r>
    <s v="P1235"/>
    <s v="Patient_236"/>
    <n v="19"/>
    <s v="Male"/>
    <x v="1"/>
    <s v="Dr. Iyer"/>
    <s v="OPD"/>
    <d v="2024-07-18T00:00:00"/>
    <d v="2024-12-30T00:00:00"/>
    <s v="Private"/>
    <n v="8"/>
    <n v="34493"/>
    <n v="26530"/>
    <n v="9423"/>
    <n v="92149"/>
    <s v="Insurance"/>
    <s v="None"/>
    <s v="Referred"/>
  </r>
  <r>
    <s v="P1236"/>
    <s v="Patient_237"/>
    <n v="20"/>
    <s v="Male"/>
    <x v="4"/>
    <s v="Dr. Patel"/>
    <s v="Emergency"/>
    <d v="2024-03-19T00:00:00"/>
    <d v="2024-08-01T00:00:00"/>
    <s v="Semi-Private"/>
    <n v="12"/>
    <n v="36707"/>
    <n v="2262"/>
    <n v="4461"/>
    <n v="11009"/>
    <s v="Insurance"/>
    <s v="Star Health"/>
    <s v="Under Treatment"/>
  </r>
  <r>
    <s v="P1237"/>
    <s v="Patient_238"/>
    <n v="71"/>
    <s v="Female"/>
    <x v="1"/>
    <s v="Dr. Rao"/>
    <s v="Referral"/>
    <d v="2024-12-08T00:00:00"/>
    <d v="2024-08-04T00:00:00"/>
    <s v="General"/>
    <n v="13"/>
    <n v="143368"/>
    <n v="41150"/>
    <n v="29777"/>
    <n v="97904"/>
    <s v="Insurance"/>
    <s v="ICICI Lombard"/>
    <s v="Under Treatment"/>
  </r>
  <r>
    <s v="P1238"/>
    <s v="Patient_239"/>
    <n v="52"/>
    <s v="Female"/>
    <x v="1"/>
    <s v="Dr. Mehta"/>
    <s v="Referral"/>
    <d v="2024-12-09T00:00:00"/>
    <d v="2024-08-14T00:00:00"/>
    <s v="General"/>
    <n v="11"/>
    <n v="161470"/>
    <n v="23615"/>
    <n v="19388"/>
    <n v="168399"/>
    <s v="Card"/>
    <s v="New India Assurance"/>
    <s v="Recovered"/>
  </r>
  <r>
    <s v="P1239"/>
    <s v="Patient_240"/>
    <n v="33"/>
    <s v="Male"/>
    <x v="4"/>
    <s v="Dr. Sharma"/>
    <s v="OPD"/>
    <d v="2024-06-21T00:00:00"/>
    <d v="2024-05-11T00:00:00"/>
    <s v="Semi-Private"/>
    <n v="12"/>
    <n v="40842"/>
    <n v="4327"/>
    <n v="9306"/>
    <n v="153281"/>
    <s v="UPI"/>
    <s v="None"/>
    <s v="Referred"/>
  </r>
  <r>
    <s v="P1240"/>
    <s v="Patient_241"/>
    <n v="40"/>
    <s v="Female"/>
    <x v="1"/>
    <s v="Dr. Mehta"/>
    <s v="Referral"/>
    <d v="2024-03-09T00:00:00"/>
    <d v="2024-03-17T00:00:00"/>
    <s v="Private"/>
    <n v="1"/>
    <n v="18261"/>
    <n v="30768"/>
    <n v="20690"/>
    <n v="187515"/>
    <s v="Card"/>
    <s v="Star Health"/>
    <s v="Deceased"/>
  </r>
  <r>
    <s v="P1241"/>
    <s v="Patient_242"/>
    <n v="39"/>
    <s v="Male"/>
    <x v="0"/>
    <s v="Dr. Mehta"/>
    <s v="OPD"/>
    <d v="2024-03-27T00:00:00"/>
    <d v="2024-10-13T00:00:00"/>
    <s v="ICU"/>
    <n v="17"/>
    <n v="81709"/>
    <n v="29850"/>
    <n v="22984"/>
    <n v="23029"/>
    <s v="Cash"/>
    <s v="HDFC Ergo"/>
    <s v="Referred"/>
  </r>
  <r>
    <s v="P1242"/>
    <s v="Patient_243"/>
    <n v="82"/>
    <s v="Male"/>
    <x v="2"/>
    <s v="Dr. Singh"/>
    <s v="OPD"/>
    <d v="2024-04-10T00:00:00"/>
    <d v="2024-10-04T00:00:00"/>
    <s v="General"/>
    <n v="16"/>
    <n v="100985"/>
    <n v="43788"/>
    <n v="18603"/>
    <n v="206685"/>
    <s v="Card"/>
    <s v="Star Health"/>
    <s v="Deceased"/>
  </r>
  <r>
    <s v="P1243"/>
    <s v="Patient_244"/>
    <n v="1"/>
    <s v="Male"/>
    <x v="4"/>
    <s v="Dr. Patel"/>
    <s v="OPD"/>
    <d v="2024-01-08T00:00:00"/>
    <d v="2024-06-05T00:00:00"/>
    <s v="ICU"/>
    <n v="11"/>
    <n v="111616"/>
    <n v="17848"/>
    <n v="29845"/>
    <n v="218515"/>
    <s v="Cash"/>
    <s v="HDFC Ergo"/>
    <s v="Deceased"/>
  </r>
  <r>
    <s v="P1244"/>
    <s v="Patient_245"/>
    <n v="11"/>
    <s v="Male"/>
    <x v="3"/>
    <s v="Dr. Sharma"/>
    <s v="OPD"/>
    <d v="2024-11-28T00:00:00"/>
    <d v="2024-09-05T00:00:00"/>
    <s v="Private"/>
    <n v="13"/>
    <n v="192776"/>
    <n v="47830"/>
    <n v="14058"/>
    <n v="196069"/>
    <s v="UPI"/>
    <s v="None"/>
    <s v="Referred"/>
  </r>
  <r>
    <s v="P1245"/>
    <s v="Patient_246"/>
    <n v="57"/>
    <s v="Male"/>
    <x v="1"/>
    <s v="Dr. Mehta"/>
    <s v="Emergency"/>
    <d v="2024-07-18T00:00:00"/>
    <d v="2024-08-06T00:00:00"/>
    <s v="Private"/>
    <n v="18"/>
    <n v="72173"/>
    <n v="40542"/>
    <n v="7186"/>
    <n v="110171"/>
    <s v="Insurance"/>
    <s v="HDFC Ergo"/>
    <s v="Under Treatment"/>
  </r>
  <r>
    <s v="P1246"/>
    <s v="Patient_247"/>
    <n v="89"/>
    <s v="Female"/>
    <x v="4"/>
    <s v="Dr. Sharma"/>
    <s v="OPD"/>
    <d v="2024-03-27T00:00:00"/>
    <d v="2024-07-09T00:00:00"/>
    <s v="ICU"/>
    <n v="11"/>
    <n v="36781"/>
    <n v="16160"/>
    <n v="2087"/>
    <n v="122456"/>
    <s v="Insurance"/>
    <s v="New India Assurance"/>
    <s v="Deceased"/>
  </r>
  <r>
    <s v="P1247"/>
    <s v="Patient_248"/>
    <n v="50"/>
    <s v="Male"/>
    <x v="5"/>
    <s v="Dr. Rao"/>
    <s v="Referral"/>
    <d v="2024-02-12T00:00:00"/>
    <d v="2024-06-12T00:00:00"/>
    <s v="Private"/>
    <n v="12"/>
    <n v="18652"/>
    <n v="34998"/>
    <n v="23884"/>
    <n v="70559"/>
    <s v="Card"/>
    <s v="HDFC Ergo"/>
    <s v="Referred"/>
  </r>
  <r>
    <s v="P1248"/>
    <s v="Patient_249"/>
    <n v="23"/>
    <s v="Female"/>
    <x v="5"/>
    <s v="Dr. Singh"/>
    <s v="Emergency"/>
    <d v="2024-04-18T00:00:00"/>
    <d v="2024-06-29T00:00:00"/>
    <s v="General"/>
    <n v="6"/>
    <n v="10103"/>
    <n v="28230"/>
    <n v="10303"/>
    <n v="72892"/>
    <s v="Insurance"/>
    <s v="New India Assurance"/>
    <s v="Recovered"/>
  </r>
  <r>
    <s v="P1249"/>
    <s v="Patient_250"/>
    <n v="31"/>
    <s v="Female"/>
    <x v="2"/>
    <s v="Dr. Rao"/>
    <s v="Referral"/>
    <d v="2024-05-31T00:00:00"/>
    <d v="2024-02-04T00:00:00"/>
    <s v="ICU"/>
    <n v="9"/>
    <n v="30500"/>
    <n v="10076"/>
    <n v="17780"/>
    <n v="78409"/>
    <s v="UPI"/>
    <s v="None"/>
    <s v="Referred"/>
  </r>
  <r>
    <s v="P1250"/>
    <s v="Patient_251"/>
    <n v="42"/>
    <s v="Male"/>
    <x v="0"/>
    <s v="Dr. Sharma"/>
    <s v="Emergency"/>
    <d v="2024-01-17T00:00:00"/>
    <d v="2024-02-11T00:00:00"/>
    <s v="Private"/>
    <n v="16"/>
    <n v="105336"/>
    <n v="4805"/>
    <n v="22442"/>
    <n v="147707"/>
    <s v="Insurance"/>
    <s v="None"/>
    <s v="Recovered"/>
  </r>
  <r>
    <s v="P1251"/>
    <s v="Patient_252"/>
    <n v="7"/>
    <s v="Male"/>
    <x v="2"/>
    <s v="Dr. Sharma"/>
    <s v="OPD"/>
    <d v="2024-05-12T00:00:00"/>
    <d v="2024-11-03T00:00:00"/>
    <s v="ICU"/>
    <n v="4"/>
    <n v="171601"/>
    <n v="32085"/>
    <n v="25353"/>
    <n v="41065"/>
    <s v="Card"/>
    <s v="Star Health"/>
    <s v="Deceased"/>
  </r>
  <r>
    <s v="P1252"/>
    <s v="Patient_253"/>
    <n v="16"/>
    <s v="Female"/>
    <x v="2"/>
    <s v="Dr. Patel"/>
    <s v="Emergency"/>
    <d v="2024-05-27T00:00:00"/>
    <d v="2024-12-04T00:00:00"/>
    <s v="General"/>
    <n v="3"/>
    <n v="118499"/>
    <n v="15715"/>
    <n v="21531"/>
    <n v="128544"/>
    <s v="UPI"/>
    <s v="New India Assurance"/>
    <s v="Referred"/>
  </r>
  <r>
    <s v="P1253"/>
    <s v="Patient_254"/>
    <n v="60"/>
    <s v="Male"/>
    <x v="2"/>
    <s v="Dr. Mehta"/>
    <s v="Emergency"/>
    <d v="2024-10-03T00:00:00"/>
    <d v="2024-11-10T00:00:00"/>
    <s v="Private"/>
    <n v="16"/>
    <n v="154524"/>
    <n v="6750"/>
    <n v="26712"/>
    <n v="115340"/>
    <s v="Cash"/>
    <s v="New India Assurance"/>
    <s v="Referred"/>
  </r>
  <r>
    <s v="P1254"/>
    <s v="Patient_255"/>
    <n v="2"/>
    <s v="Male"/>
    <x v="2"/>
    <s v="Dr. Mehta"/>
    <s v="Referral"/>
    <d v="2024-08-19T00:00:00"/>
    <d v="2024-03-16T00:00:00"/>
    <s v="General"/>
    <n v="12"/>
    <n v="54393"/>
    <n v="49395"/>
    <n v="10850"/>
    <n v="41783"/>
    <s v="Card"/>
    <s v="ICICI Lombard"/>
    <s v="Recovered"/>
  </r>
  <r>
    <s v="P1255"/>
    <s v="Patient_256"/>
    <n v="1"/>
    <s v="Female"/>
    <x v="3"/>
    <s v="Dr. Rao"/>
    <s v="Referral"/>
    <d v="2024-11-09T00:00:00"/>
    <d v="2024-10-06T00:00:00"/>
    <s v="Private"/>
    <n v="11"/>
    <n v="167246"/>
    <n v="14232"/>
    <n v="19316"/>
    <n v="42152"/>
    <s v="Cash"/>
    <s v="ICICI Lombard"/>
    <s v="Referred"/>
  </r>
  <r>
    <s v="P1256"/>
    <s v="Patient_257"/>
    <n v="48"/>
    <s v="Female"/>
    <x v="3"/>
    <s v="Dr. Singh"/>
    <s v="OPD"/>
    <d v="2024-08-15T00:00:00"/>
    <d v="2024-06-25T00:00:00"/>
    <s v="Semi-Private"/>
    <n v="5"/>
    <n v="171508"/>
    <n v="36903"/>
    <n v="20788"/>
    <n v="66741"/>
    <s v="UPI"/>
    <s v="ICICI Lombard"/>
    <s v="Referred"/>
  </r>
  <r>
    <s v="P1257"/>
    <s v="Patient_258"/>
    <n v="12"/>
    <s v="Male"/>
    <x v="4"/>
    <s v="Dr. Iyer"/>
    <s v="Emergency"/>
    <d v="2024-05-18T00:00:00"/>
    <d v="2024-05-30T00:00:00"/>
    <s v="Private"/>
    <n v="18"/>
    <n v="52406"/>
    <n v="7953"/>
    <n v="29932"/>
    <n v="115049"/>
    <s v="Card"/>
    <s v="HDFC Ergo"/>
    <s v="Deceased"/>
  </r>
  <r>
    <s v="P1258"/>
    <s v="Patient_259"/>
    <n v="69"/>
    <s v="Female"/>
    <x v="5"/>
    <s v="Dr. Mehta"/>
    <s v="Emergency"/>
    <d v="2024-07-29T00:00:00"/>
    <d v="2024-09-30T00:00:00"/>
    <s v="ICU"/>
    <n v="19"/>
    <n v="68059"/>
    <n v="33093"/>
    <n v="11954"/>
    <n v="190574"/>
    <s v="Card"/>
    <s v="ICICI Lombard"/>
    <s v="Referred"/>
  </r>
  <r>
    <s v="P1259"/>
    <s v="Patient_260"/>
    <n v="37"/>
    <s v="Male"/>
    <x v="2"/>
    <s v="Dr. Patel"/>
    <s v="Emergency"/>
    <d v="2024-01-28T00:00:00"/>
    <d v="2024-11-21T00:00:00"/>
    <s v="Private"/>
    <n v="6"/>
    <n v="152026"/>
    <n v="26500"/>
    <n v="16349"/>
    <n v="37092"/>
    <s v="UPI"/>
    <s v="New India Assurance"/>
    <s v="Under Treatment"/>
  </r>
  <r>
    <s v="P1260"/>
    <s v="Patient_261"/>
    <n v="32"/>
    <s v="Male"/>
    <x v="4"/>
    <s v="Dr. Rao"/>
    <s v="OPD"/>
    <d v="2024-02-20T00:00:00"/>
    <d v="2024-04-18T00:00:00"/>
    <s v="General"/>
    <n v="18"/>
    <n v="87722"/>
    <n v="23418"/>
    <n v="7337"/>
    <n v="156725"/>
    <s v="Insurance"/>
    <s v="HDFC Ergo"/>
    <s v="Recovered"/>
  </r>
  <r>
    <s v="P1261"/>
    <s v="Patient_262"/>
    <n v="9"/>
    <s v="Male"/>
    <x v="5"/>
    <s v="Dr. Rao"/>
    <s v="OPD"/>
    <d v="2024-09-17T00:00:00"/>
    <d v="2024-05-19T00:00:00"/>
    <s v="General"/>
    <n v="6"/>
    <n v="17356"/>
    <n v="35314"/>
    <n v="1949"/>
    <n v="237071"/>
    <s v="Card"/>
    <s v="None"/>
    <s v="Referred"/>
  </r>
  <r>
    <s v="P1262"/>
    <s v="Patient_263"/>
    <n v="19"/>
    <s v="Female"/>
    <x v="1"/>
    <s v="Dr. Iyer"/>
    <s v="OPD"/>
    <d v="2024-09-17T00:00:00"/>
    <d v="2024-12-16T00:00:00"/>
    <s v="Private"/>
    <n v="4"/>
    <n v="133128"/>
    <n v="49225"/>
    <n v="21384"/>
    <n v="238636"/>
    <s v="Card"/>
    <s v="Star Health"/>
    <s v="Recovered"/>
  </r>
  <r>
    <s v="P1263"/>
    <s v="Patient_264"/>
    <n v="48"/>
    <s v="Female"/>
    <x v="0"/>
    <s v="Dr. Patel"/>
    <s v="OPD"/>
    <d v="2024-12-15T00:00:00"/>
    <d v="2024-09-28T00:00:00"/>
    <s v="ICU"/>
    <n v="12"/>
    <n v="7187"/>
    <n v="23449"/>
    <n v="5954"/>
    <n v="179541"/>
    <s v="Cash"/>
    <s v="ICICI Lombard"/>
    <s v="Recovered"/>
  </r>
  <r>
    <s v="P1264"/>
    <s v="Patient_265"/>
    <n v="80"/>
    <s v="Female"/>
    <x v="3"/>
    <s v="Dr. Singh"/>
    <s v="OPD"/>
    <d v="2024-12-17T00:00:00"/>
    <d v="2024-12-13T00:00:00"/>
    <s v="Semi-Private"/>
    <n v="19"/>
    <n v="82243"/>
    <n v="18478"/>
    <n v="9924"/>
    <n v="94483"/>
    <s v="Insurance"/>
    <s v="None"/>
    <s v="Recovered"/>
  </r>
  <r>
    <s v="P1265"/>
    <s v="Patient_266"/>
    <n v="3"/>
    <s v="Female"/>
    <x v="1"/>
    <s v="Dr. Patel"/>
    <s v="Referral"/>
    <d v="2024-01-08T00:00:00"/>
    <d v="2024-10-16T00:00:00"/>
    <s v="ICU"/>
    <n v="2"/>
    <n v="40098"/>
    <n v="36179"/>
    <n v="4617"/>
    <n v="129585"/>
    <s v="Cash"/>
    <s v="New India Assurance"/>
    <s v="Referred"/>
  </r>
  <r>
    <s v="P1266"/>
    <s v="Patient_267"/>
    <n v="20"/>
    <s v="Female"/>
    <x v="5"/>
    <s v="Dr. Singh"/>
    <s v="Emergency"/>
    <d v="2024-11-15T00:00:00"/>
    <d v="2024-07-31T00:00:00"/>
    <s v="Semi-Private"/>
    <n v="17"/>
    <n v="157297"/>
    <n v="47881"/>
    <n v="9369"/>
    <n v="67754"/>
    <s v="Cash"/>
    <s v="Star Health"/>
    <s v="Referred"/>
  </r>
  <r>
    <s v="P1267"/>
    <s v="Patient_268"/>
    <n v="24"/>
    <s v="Male"/>
    <x v="1"/>
    <s v="Dr. Patel"/>
    <s v="Emergency"/>
    <d v="2024-05-17T00:00:00"/>
    <d v="2024-09-29T00:00:00"/>
    <s v="General"/>
    <n v="11"/>
    <n v="139678"/>
    <n v="26338"/>
    <n v="11350"/>
    <n v="169050"/>
    <s v="Insurance"/>
    <s v="None"/>
    <s v="Recovered"/>
  </r>
  <r>
    <s v="P1268"/>
    <s v="Patient_269"/>
    <n v="54"/>
    <s v="Male"/>
    <x v="0"/>
    <s v="Dr. Patel"/>
    <s v="Emergency"/>
    <d v="2024-02-07T00:00:00"/>
    <d v="2024-03-07T00:00:00"/>
    <s v="ICU"/>
    <n v="11"/>
    <n v="62620"/>
    <n v="27899"/>
    <n v="18912"/>
    <n v="95592"/>
    <s v="Insurance"/>
    <s v="Star Health"/>
    <s v="Under Treatment"/>
  </r>
  <r>
    <s v="P1269"/>
    <s v="Patient_270"/>
    <n v="33"/>
    <s v="Male"/>
    <x v="5"/>
    <s v="Dr. Sharma"/>
    <s v="Emergency"/>
    <d v="2024-04-20T00:00:00"/>
    <d v="2024-09-05T00:00:00"/>
    <s v="Semi-Private"/>
    <n v="16"/>
    <n v="168900"/>
    <n v="5145"/>
    <n v="14843"/>
    <n v="102543"/>
    <s v="UPI"/>
    <s v="ICICI Lombard"/>
    <s v="Recovered"/>
  </r>
  <r>
    <s v="P1270"/>
    <s v="Patient_271"/>
    <n v="24"/>
    <s v="Male"/>
    <x v="1"/>
    <s v="Dr. Rao"/>
    <s v="Emergency"/>
    <d v="2024-08-07T00:00:00"/>
    <d v="2024-06-05T00:00:00"/>
    <s v="Private"/>
    <n v="2"/>
    <n v="131270"/>
    <n v="33101"/>
    <n v="7345"/>
    <n v="51169"/>
    <s v="Insurance"/>
    <s v="New India Assurance"/>
    <s v="Under Treatment"/>
  </r>
  <r>
    <s v="P1271"/>
    <s v="Patient_272"/>
    <n v="75"/>
    <s v="Female"/>
    <x v="3"/>
    <s v="Dr. Patel"/>
    <s v="Emergency"/>
    <d v="2024-12-02T00:00:00"/>
    <d v="2024-02-17T00:00:00"/>
    <s v="General"/>
    <n v="2"/>
    <n v="162561"/>
    <n v="3775"/>
    <n v="20642"/>
    <n v="187359"/>
    <s v="Card"/>
    <s v="Star Health"/>
    <s v="Recovered"/>
  </r>
  <r>
    <s v="P1272"/>
    <s v="Patient_273"/>
    <n v="72"/>
    <s v="Male"/>
    <x v="3"/>
    <s v="Dr. Iyer"/>
    <s v="Emergency"/>
    <d v="2024-08-10T00:00:00"/>
    <d v="2024-07-20T00:00:00"/>
    <s v="Private"/>
    <n v="8"/>
    <n v="19387"/>
    <n v="46961"/>
    <n v="22788"/>
    <n v="62745"/>
    <s v="Insurance"/>
    <s v="None"/>
    <s v="Deceased"/>
  </r>
  <r>
    <s v="P1273"/>
    <s v="Patient_274"/>
    <n v="36"/>
    <s v="Female"/>
    <x v="4"/>
    <s v="Dr. Patel"/>
    <s v="Emergency"/>
    <d v="2024-05-15T00:00:00"/>
    <d v="2024-05-28T00:00:00"/>
    <s v="General"/>
    <n v="13"/>
    <n v="74463"/>
    <n v="32647"/>
    <n v="5124"/>
    <n v="118168"/>
    <s v="UPI"/>
    <s v="ICICI Lombard"/>
    <s v="Recovered"/>
  </r>
  <r>
    <s v="P1274"/>
    <s v="Patient_275"/>
    <n v="38"/>
    <s v="Male"/>
    <x v="1"/>
    <s v="Dr. Mehta"/>
    <s v="Referral"/>
    <d v="2024-09-12T00:00:00"/>
    <d v="2024-05-04T00:00:00"/>
    <s v="ICU"/>
    <n v="10"/>
    <n v="138663"/>
    <n v="46619"/>
    <n v="27113"/>
    <n v="121985"/>
    <s v="UPI"/>
    <s v="ICICI Lombard"/>
    <s v="Recovered"/>
  </r>
  <r>
    <s v="P1275"/>
    <s v="Patient_276"/>
    <n v="84"/>
    <s v="Female"/>
    <x v="2"/>
    <s v="Dr. Rao"/>
    <s v="Emergency"/>
    <d v="2024-12-25T00:00:00"/>
    <d v="2024-01-02T00:00:00"/>
    <s v="ICU"/>
    <n v="8"/>
    <n v="184588"/>
    <n v="46838"/>
    <n v="27725"/>
    <n v="13543"/>
    <s v="UPI"/>
    <s v="None"/>
    <s v="Referred"/>
  </r>
  <r>
    <s v="P1276"/>
    <s v="Patient_277"/>
    <n v="89"/>
    <s v="Female"/>
    <x v="1"/>
    <s v="Dr. Mehta"/>
    <s v="Referral"/>
    <d v="2024-11-24T00:00:00"/>
    <d v="2024-09-04T00:00:00"/>
    <s v="General"/>
    <n v="4"/>
    <n v="96683"/>
    <n v="20539"/>
    <n v="9348"/>
    <n v="195464"/>
    <s v="Insurance"/>
    <s v="None"/>
    <s v="Under Treatment"/>
  </r>
  <r>
    <s v="P1277"/>
    <s v="Patient_278"/>
    <n v="25"/>
    <s v="Male"/>
    <x v="5"/>
    <s v="Dr. Rao"/>
    <s v="OPD"/>
    <d v="2024-02-18T00:00:00"/>
    <d v="2024-12-09T00:00:00"/>
    <s v="General"/>
    <n v="15"/>
    <n v="67061"/>
    <n v="37738"/>
    <n v="17049"/>
    <n v="29067"/>
    <s v="Insurance"/>
    <s v="Star Health"/>
    <s v="Deceased"/>
  </r>
  <r>
    <s v="P1278"/>
    <s v="Patient_279"/>
    <n v="18"/>
    <s v="Male"/>
    <x v="5"/>
    <s v="Dr. Mehta"/>
    <s v="Emergency"/>
    <d v="2024-10-18T00:00:00"/>
    <d v="2024-05-08T00:00:00"/>
    <s v="General"/>
    <n v="1"/>
    <n v="86257"/>
    <n v="27616"/>
    <n v="13636"/>
    <n v="59033"/>
    <s v="Cash"/>
    <s v="HDFC Ergo"/>
    <s v="Under Treatment"/>
  </r>
  <r>
    <s v="P1279"/>
    <s v="Patient_280"/>
    <n v="82"/>
    <s v="Male"/>
    <x v="1"/>
    <s v="Dr. Patel"/>
    <s v="OPD"/>
    <d v="2024-11-19T00:00:00"/>
    <d v="2024-07-10T00:00:00"/>
    <s v="ICU"/>
    <n v="11"/>
    <n v="66753"/>
    <n v="15119"/>
    <n v="21475"/>
    <n v="53256"/>
    <s v="Cash"/>
    <s v="ICICI Lombard"/>
    <s v="Deceased"/>
  </r>
  <r>
    <s v="P1280"/>
    <s v="Patient_281"/>
    <n v="66"/>
    <s v="Male"/>
    <x v="0"/>
    <s v="Dr. Patel"/>
    <s v="OPD"/>
    <d v="2024-03-18T00:00:00"/>
    <d v="2024-03-08T00:00:00"/>
    <s v="Semi-Private"/>
    <n v="7"/>
    <n v="89774"/>
    <n v="26159"/>
    <n v="1089"/>
    <n v="229705"/>
    <s v="Card"/>
    <s v="Star Health"/>
    <s v="Recovered"/>
  </r>
  <r>
    <s v="P1281"/>
    <s v="Patient_282"/>
    <n v="54"/>
    <s v="Female"/>
    <x v="3"/>
    <s v="Dr. Sharma"/>
    <s v="OPD"/>
    <d v="2024-04-14T00:00:00"/>
    <d v="2024-01-05T00:00:00"/>
    <s v="Private"/>
    <n v="17"/>
    <n v="147159"/>
    <n v="38099"/>
    <n v="21408"/>
    <n v="247455"/>
    <s v="Cash"/>
    <s v="None"/>
    <s v="Referred"/>
  </r>
  <r>
    <s v="P1282"/>
    <s v="Patient_283"/>
    <n v="35"/>
    <s v="Male"/>
    <x v="5"/>
    <s v="Dr. Iyer"/>
    <s v="Referral"/>
    <d v="2024-06-17T00:00:00"/>
    <d v="2024-10-30T00:00:00"/>
    <s v="Private"/>
    <n v="18"/>
    <n v="166888"/>
    <n v="11295"/>
    <n v="19705"/>
    <n v="248120"/>
    <s v="Card"/>
    <s v="Star Health"/>
    <s v="Referred"/>
  </r>
  <r>
    <s v="P1283"/>
    <s v="Patient_284"/>
    <n v="80"/>
    <s v="Male"/>
    <x v="3"/>
    <s v="Dr. Mehta"/>
    <s v="OPD"/>
    <d v="2024-08-04T00:00:00"/>
    <d v="2024-10-21T00:00:00"/>
    <s v="ICU"/>
    <n v="12"/>
    <n v="28408"/>
    <n v="35710"/>
    <n v="29334"/>
    <n v="208417"/>
    <s v="UPI"/>
    <s v="None"/>
    <s v="Under Treatment"/>
  </r>
  <r>
    <s v="P1284"/>
    <s v="Patient_285"/>
    <n v="61"/>
    <s v="Female"/>
    <x v="5"/>
    <s v="Dr. Singh"/>
    <s v="OPD"/>
    <d v="2024-04-28T00:00:00"/>
    <d v="2024-05-23T00:00:00"/>
    <s v="Private"/>
    <n v="9"/>
    <n v="129116"/>
    <n v="25685"/>
    <n v="7009"/>
    <n v="161263"/>
    <s v="Cash"/>
    <s v="New India Assurance"/>
    <s v="Referred"/>
  </r>
  <r>
    <s v="P1285"/>
    <s v="Patient_286"/>
    <n v="41"/>
    <s v="Male"/>
    <x v="4"/>
    <s v="Dr. Sharma"/>
    <s v="OPD"/>
    <d v="2024-07-08T00:00:00"/>
    <d v="2024-07-10T00:00:00"/>
    <s v="General"/>
    <n v="5"/>
    <n v="136208"/>
    <n v="26479"/>
    <n v="8193"/>
    <n v="94803"/>
    <s v="Insurance"/>
    <s v="None"/>
    <s v="Under Treatment"/>
  </r>
  <r>
    <s v="P1286"/>
    <s v="Patient_287"/>
    <n v="33"/>
    <s v="Male"/>
    <x v="2"/>
    <s v="Dr. Mehta"/>
    <s v="Emergency"/>
    <d v="2024-09-11T00:00:00"/>
    <d v="2024-01-22T00:00:00"/>
    <s v="Semi-Private"/>
    <n v="10"/>
    <n v="22413"/>
    <n v="47172"/>
    <n v="9954"/>
    <n v="211814"/>
    <s v="Cash"/>
    <s v="None"/>
    <s v="Under Treatment"/>
  </r>
  <r>
    <s v="P1287"/>
    <s v="Patient_288"/>
    <n v="68"/>
    <s v="Male"/>
    <x v="5"/>
    <s v="Dr. Mehta"/>
    <s v="Emergency"/>
    <d v="2024-09-22T00:00:00"/>
    <d v="2024-08-15T00:00:00"/>
    <s v="Private"/>
    <n v="4"/>
    <n v="118650"/>
    <n v="34629"/>
    <n v="16955"/>
    <n v="126843"/>
    <s v="Card"/>
    <s v="None"/>
    <s v="Deceased"/>
  </r>
  <r>
    <s v="P1288"/>
    <s v="Patient_289"/>
    <n v="33"/>
    <s v="Male"/>
    <x v="3"/>
    <s v="Dr. Sharma"/>
    <s v="Referral"/>
    <d v="2024-05-28T00:00:00"/>
    <d v="2024-11-09T00:00:00"/>
    <s v="Semi-Private"/>
    <n v="5"/>
    <n v="64500"/>
    <n v="43043"/>
    <n v="12208"/>
    <n v="225665"/>
    <s v="Cash"/>
    <s v="HDFC Ergo"/>
    <s v="Under Treatment"/>
  </r>
  <r>
    <s v="P1289"/>
    <s v="Patient_290"/>
    <n v="14"/>
    <s v="Male"/>
    <x v="4"/>
    <s v="Dr. Patel"/>
    <s v="Referral"/>
    <d v="2024-06-12T00:00:00"/>
    <d v="2024-04-27T00:00:00"/>
    <s v="General"/>
    <n v="10"/>
    <n v="89514"/>
    <n v="18033"/>
    <n v="13442"/>
    <n v="36992"/>
    <s v="UPI"/>
    <s v="None"/>
    <s v="Deceased"/>
  </r>
  <r>
    <s v="P1290"/>
    <s v="Patient_291"/>
    <n v="21"/>
    <s v="Female"/>
    <x v="5"/>
    <s v="Dr. Mehta"/>
    <s v="Emergency"/>
    <d v="2024-05-19T00:00:00"/>
    <d v="2024-10-29T00:00:00"/>
    <s v="Private"/>
    <n v="11"/>
    <n v="61358"/>
    <n v="37902"/>
    <n v="20464"/>
    <n v="220603"/>
    <s v="Insurance"/>
    <s v="ICICI Lombard"/>
    <s v="Referred"/>
  </r>
  <r>
    <s v="P1291"/>
    <s v="Patient_292"/>
    <n v="48"/>
    <s v="Male"/>
    <x v="0"/>
    <s v="Dr. Patel"/>
    <s v="Referral"/>
    <d v="2024-12-12T00:00:00"/>
    <d v="2024-05-22T00:00:00"/>
    <s v="ICU"/>
    <n v="10"/>
    <n v="71197"/>
    <n v="45571"/>
    <n v="24846"/>
    <n v="56803"/>
    <s v="Card"/>
    <s v="ICICI Lombard"/>
    <s v="Under Treatment"/>
  </r>
  <r>
    <s v="P1292"/>
    <s v="Patient_293"/>
    <n v="20"/>
    <s v="Male"/>
    <x v="2"/>
    <s v="Dr. Sharma"/>
    <s v="Emergency"/>
    <d v="2024-09-14T00:00:00"/>
    <d v="2024-02-09T00:00:00"/>
    <s v="Semi-Private"/>
    <n v="8"/>
    <n v="168926"/>
    <n v="16408"/>
    <n v="17152"/>
    <n v="117975"/>
    <s v="Insurance"/>
    <s v="Star Health"/>
    <s v="Under Treatment"/>
  </r>
  <r>
    <s v="P1293"/>
    <s v="Patient_294"/>
    <n v="8"/>
    <s v="Male"/>
    <x v="5"/>
    <s v="Dr. Patel"/>
    <s v="OPD"/>
    <d v="2024-09-25T00:00:00"/>
    <d v="2024-12-21T00:00:00"/>
    <s v="General"/>
    <n v="2"/>
    <n v="81240"/>
    <n v="18420"/>
    <n v="10468"/>
    <n v="202549"/>
    <s v="Insurance"/>
    <s v="HDFC Ergo"/>
    <s v="Recovered"/>
  </r>
  <r>
    <s v="P1294"/>
    <s v="Patient_295"/>
    <n v="7"/>
    <s v="Male"/>
    <x v="4"/>
    <s v="Dr. Rao"/>
    <s v="OPD"/>
    <d v="2024-06-29T00:00:00"/>
    <d v="2024-09-09T00:00:00"/>
    <s v="Semi-Private"/>
    <n v="8"/>
    <n v="21322"/>
    <n v="17351"/>
    <n v="2962"/>
    <n v="152282"/>
    <s v="Card"/>
    <s v="Star Health"/>
    <s v="Under Treatment"/>
  </r>
  <r>
    <s v="P1295"/>
    <s v="Patient_296"/>
    <n v="67"/>
    <s v="Male"/>
    <x v="0"/>
    <s v="Dr. Singh"/>
    <s v="Referral"/>
    <d v="2024-06-08T00:00:00"/>
    <d v="2024-11-29T00:00:00"/>
    <s v="Private"/>
    <n v="16"/>
    <n v="118053"/>
    <n v="5131"/>
    <n v="9960"/>
    <n v="222401"/>
    <s v="Insurance"/>
    <s v="ICICI Lombard"/>
    <s v="Under Treatment"/>
  </r>
  <r>
    <s v="P1296"/>
    <s v="Patient_297"/>
    <n v="17"/>
    <s v="Female"/>
    <x v="1"/>
    <s v="Dr. Mehta"/>
    <s v="Emergency"/>
    <d v="2024-12-16T00:00:00"/>
    <d v="2024-07-26T00:00:00"/>
    <s v="Private"/>
    <n v="5"/>
    <n v="11968"/>
    <n v="45825"/>
    <n v="1515"/>
    <n v="34270"/>
    <s v="Insurance"/>
    <s v="ICICI Lombard"/>
    <s v="Recovered"/>
  </r>
  <r>
    <s v="P1297"/>
    <s v="Patient_298"/>
    <n v="33"/>
    <s v="Male"/>
    <x v="4"/>
    <s v="Dr. Iyer"/>
    <s v="Emergency"/>
    <d v="2024-10-14T00:00:00"/>
    <d v="2024-07-29T00:00:00"/>
    <s v="ICU"/>
    <n v="3"/>
    <n v="32518"/>
    <n v="12349"/>
    <n v="27798"/>
    <n v="201080"/>
    <s v="Cash"/>
    <s v="New India Assurance"/>
    <s v="Recovered"/>
  </r>
  <r>
    <s v="P1298"/>
    <s v="Patient_299"/>
    <n v="48"/>
    <s v="Female"/>
    <x v="4"/>
    <s v="Dr. Singh"/>
    <s v="Referral"/>
    <d v="2024-10-14T00:00:00"/>
    <d v="2024-04-25T00:00:00"/>
    <s v="General"/>
    <n v="12"/>
    <n v="56925"/>
    <n v="45254"/>
    <n v="9775"/>
    <n v="144269"/>
    <s v="Insurance"/>
    <s v="None"/>
    <s v="Referred"/>
  </r>
  <r>
    <s v="P1299"/>
    <s v="Patient_300"/>
    <n v="76"/>
    <s v="Female"/>
    <x v="0"/>
    <s v="Dr. Patel"/>
    <s v="Emergency"/>
    <d v="2024-08-13T00:00:00"/>
    <d v="2024-08-13T00:00:00"/>
    <s v="General"/>
    <n v="13"/>
    <n v="195920"/>
    <n v="39225"/>
    <n v="29177"/>
    <n v="15452"/>
    <s v="Insurance"/>
    <s v="ICICI Lombard"/>
    <s v="Under Treatment"/>
  </r>
  <r>
    <s v="P1300"/>
    <s v="Patient_301"/>
    <n v="59"/>
    <s v="Male"/>
    <x v="4"/>
    <s v="Dr. Mehta"/>
    <s v="OPD"/>
    <d v="2024-01-11T00:00:00"/>
    <d v="2024-05-14T00:00:00"/>
    <s v="ICU"/>
    <n v="13"/>
    <n v="116900"/>
    <n v="39847"/>
    <n v="13769"/>
    <n v="49486"/>
    <s v="Insurance"/>
    <s v="Star Health"/>
    <s v="Referred"/>
  </r>
  <r>
    <s v="P1301"/>
    <s v="Patient_302"/>
    <n v="86"/>
    <s v="Male"/>
    <x v="0"/>
    <s v="Dr. Patel"/>
    <s v="Referral"/>
    <d v="2024-01-10T00:00:00"/>
    <d v="2024-09-08T00:00:00"/>
    <s v="ICU"/>
    <n v="10"/>
    <n v="98422"/>
    <n v="13453"/>
    <n v="24868"/>
    <n v="22859"/>
    <s v="Insurance"/>
    <s v="Star Health"/>
    <s v="Referred"/>
  </r>
  <r>
    <s v="P1302"/>
    <s v="Patient_303"/>
    <n v="22"/>
    <s v="Male"/>
    <x v="5"/>
    <s v="Dr. Rao"/>
    <s v="Referral"/>
    <d v="2024-09-27T00:00:00"/>
    <d v="2024-08-07T00:00:00"/>
    <s v="General"/>
    <n v="4"/>
    <n v="6700"/>
    <n v="19814"/>
    <n v="906"/>
    <n v="166308"/>
    <s v="Card"/>
    <s v="None"/>
    <s v="Recovered"/>
  </r>
  <r>
    <s v="P1303"/>
    <s v="Patient_304"/>
    <n v="30"/>
    <s v="Male"/>
    <x v="0"/>
    <s v="Dr. Sharma"/>
    <s v="Emergency"/>
    <d v="2024-09-29T00:00:00"/>
    <d v="2024-04-01T00:00:00"/>
    <s v="Semi-Private"/>
    <n v="9"/>
    <n v="98782"/>
    <n v="19263"/>
    <n v="7884"/>
    <n v="170971"/>
    <s v="UPI"/>
    <s v="None"/>
    <s v="Deceased"/>
  </r>
  <r>
    <s v="P1304"/>
    <s v="Patient_305"/>
    <n v="38"/>
    <s v="Female"/>
    <x v="0"/>
    <s v="Dr. Mehta"/>
    <s v="Referral"/>
    <d v="2024-07-01T00:00:00"/>
    <d v="2024-12-20T00:00:00"/>
    <s v="Semi-Private"/>
    <n v="2"/>
    <n v="28199"/>
    <n v="13158"/>
    <n v="22933"/>
    <n v="40083"/>
    <s v="Cash"/>
    <s v="New India Assurance"/>
    <s v="Referred"/>
  </r>
  <r>
    <s v="P1305"/>
    <s v="Patient_306"/>
    <n v="51"/>
    <s v="Male"/>
    <x v="2"/>
    <s v="Dr. Rao"/>
    <s v="Emergency"/>
    <d v="2024-06-01T00:00:00"/>
    <d v="2024-02-16T00:00:00"/>
    <s v="ICU"/>
    <n v="19"/>
    <n v="180661"/>
    <n v="16735"/>
    <n v="23053"/>
    <n v="75708"/>
    <s v="Insurance"/>
    <s v="HDFC Ergo"/>
    <s v="Deceased"/>
  </r>
  <r>
    <s v="P1306"/>
    <s v="Patient_307"/>
    <n v="54"/>
    <s v="Male"/>
    <x v="0"/>
    <s v="Dr. Rao"/>
    <s v="Emergency"/>
    <d v="2024-11-10T00:00:00"/>
    <d v="2024-02-08T00:00:00"/>
    <s v="Semi-Private"/>
    <n v="1"/>
    <n v="168187"/>
    <n v="16830"/>
    <n v="24866"/>
    <n v="119462"/>
    <s v="Insurance"/>
    <s v="Star Health"/>
    <s v="Under Treatment"/>
  </r>
  <r>
    <s v="P1307"/>
    <s v="Patient_308"/>
    <n v="8"/>
    <s v="Male"/>
    <x v="0"/>
    <s v="Dr. Mehta"/>
    <s v="Emergency"/>
    <d v="2024-11-29T00:00:00"/>
    <d v="2024-05-22T00:00:00"/>
    <s v="General"/>
    <n v="7"/>
    <n v="198006"/>
    <n v="48893"/>
    <n v="11768"/>
    <n v="155735"/>
    <s v="Card"/>
    <s v="None"/>
    <s v="Recovered"/>
  </r>
  <r>
    <s v="P1308"/>
    <s v="Patient_309"/>
    <n v="27"/>
    <s v="Male"/>
    <x v="1"/>
    <s v="Dr. Patel"/>
    <s v="Emergency"/>
    <d v="2024-05-03T00:00:00"/>
    <d v="2024-04-10T00:00:00"/>
    <s v="Private"/>
    <n v="17"/>
    <n v="190388"/>
    <n v="45673"/>
    <n v="17869"/>
    <n v="101076"/>
    <s v="UPI"/>
    <s v="Star Health"/>
    <s v="Under Treatment"/>
  </r>
  <r>
    <s v="P1309"/>
    <s v="Patient_310"/>
    <n v="27"/>
    <s v="Male"/>
    <x v="5"/>
    <s v="Dr. Iyer"/>
    <s v="Emergency"/>
    <d v="2024-04-23T00:00:00"/>
    <d v="2024-11-24T00:00:00"/>
    <s v="Private"/>
    <n v="3"/>
    <n v="10520"/>
    <n v="24926"/>
    <n v="12295"/>
    <n v="27053"/>
    <s v="Insurance"/>
    <s v="None"/>
    <s v="Under Treatment"/>
  </r>
  <r>
    <s v="P1310"/>
    <s v="Patient_311"/>
    <n v="21"/>
    <s v="Male"/>
    <x v="2"/>
    <s v="Dr. Rao"/>
    <s v="Referral"/>
    <d v="2024-10-04T00:00:00"/>
    <d v="2024-07-09T00:00:00"/>
    <s v="Semi-Private"/>
    <n v="3"/>
    <n v="114814"/>
    <n v="46066"/>
    <n v="4985"/>
    <n v="150157"/>
    <s v="Card"/>
    <s v="ICICI Lombard"/>
    <s v="Recovered"/>
  </r>
  <r>
    <s v="P1311"/>
    <s v="Patient_312"/>
    <n v="30"/>
    <s v="Female"/>
    <x v="1"/>
    <s v="Dr. Singh"/>
    <s v="OPD"/>
    <d v="2024-07-31T00:00:00"/>
    <d v="2024-02-05T00:00:00"/>
    <s v="ICU"/>
    <n v="3"/>
    <n v="172527"/>
    <n v="35779"/>
    <n v="9401"/>
    <n v="169636"/>
    <s v="Cash"/>
    <s v="Star Health"/>
    <s v="Under Treatment"/>
  </r>
  <r>
    <s v="P1312"/>
    <s v="Patient_313"/>
    <n v="28"/>
    <s v="Female"/>
    <x v="3"/>
    <s v="Dr. Rao"/>
    <s v="OPD"/>
    <d v="2024-06-20T00:00:00"/>
    <d v="2024-05-27T00:00:00"/>
    <s v="ICU"/>
    <n v="17"/>
    <n v="128364"/>
    <n v="4373"/>
    <n v="3118"/>
    <n v="97745"/>
    <s v="Cash"/>
    <s v="ICICI Lombard"/>
    <s v="Recovered"/>
  </r>
  <r>
    <s v="P1313"/>
    <s v="Patient_314"/>
    <n v="64"/>
    <s v="Male"/>
    <x v="5"/>
    <s v="Dr. Iyer"/>
    <s v="Referral"/>
    <d v="2024-10-14T00:00:00"/>
    <d v="2024-01-31T00:00:00"/>
    <s v="ICU"/>
    <n v="7"/>
    <n v="177677"/>
    <n v="11335"/>
    <n v="29925"/>
    <n v="198167"/>
    <s v="Insurance"/>
    <s v="Star Health"/>
    <s v="Deceased"/>
  </r>
  <r>
    <s v="P1314"/>
    <s v="Patient_315"/>
    <n v="69"/>
    <s v="Male"/>
    <x v="5"/>
    <s v="Dr. Patel"/>
    <s v="Referral"/>
    <d v="2024-06-22T00:00:00"/>
    <d v="2024-11-30T00:00:00"/>
    <s v="ICU"/>
    <n v="14"/>
    <n v="19955"/>
    <n v="24741"/>
    <n v="23173"/>
    <n v="77517"/>
    <s v="Insurance"/>
    <s v="HDFC Ergo"/>
    <s v="Under Treatment"/>
  </r>
  <r>
    <s v="P1315"/>
    <s v="Patient_316"/>
    <n v="61"/>
    <s v="Male"/>
    <x v="3"/>
    <s v="Dr. Patel"/>
    <s v="OPD"/>
    <d v="2024-04-22T00:00:00"/>
    <d v="2024-03-25T00:00:00"/>
    <s v="ICU"/>
    <n v="17"/>
    <n v="180121"/>
    <n v="11692"/>
    <n v="10103"/>
    <n v="160225"/>
    <s v="UPI"/>
    <s v="New India Assurance"/>
    <s v="Recovered"/>
  </r>
  <r>
    <s v="P1316"/>
    <s v="Patient_317"/>
    <n v="48"/>
    <s v="Female"/>
    <x v="0"/>
    <s v="Dr. Singh"/>
    <s v="OPD"/>
    <d v="2024-05-01T00:00:00"/>
    <d v="2025-01-04T00:00:00"/>
    <s v="Semi-Private"/>
    <n v="18"/>
    <n v="149989"/>
    <n v="48295"/>
    <n v="7428"/>
    <n v="144319"/>
    <s v="UPI"/>
    <s v="ICICI Lombard"/>
    <s v="Referred"/>
  </r>
  <r>
    <s v="P1317"/>
    <s v="Patient_318"/>
    <n v="19"/>
    <s v="Male"/>
    <x v="1"/>
    <s v="Dr. Rao"/>
    <s v="OPD"/>
    <d v="2024-02-01T00:00:00"/>
    <d v="2024-10-08T00:00:00"/>
    <s v="Private"/>
    <n v="13"/>
    <n v="69925"/>
    <n v="46541"/>
    <n v="5868"/>
    <n v="149625"/>
    <s v="Insurance"/>
    <s v="None"/>
    <s v="Under Treatment"/>
  </r>
  <r>
    <s v="P1318"/>
    <s v="Patient_319"/>
    <n v="4"/>
    <s v="Female"/>
    <x v="4"/>
    <s v="Dr. Patel"/>
    <s v="OPD"/>
    <d v="2024-08-09T00:00:00"/>
    <d v="2024-12-10T00:00:00"/>
    <s v="Private"/>
    <n v="18"/>
    <n v="112216"/>
    <n v="35057"/>
    <n v="5121"/>
    <n v="159883"/>
    <s v="Card"/>
    <s v="HDFC Ergo"/>
    <s v="Deceased"/>
  </r>
  <r>
    <s v="P1319"/>
    <s v="Patient_320"/>
    <n v="35"/>
    <s v="Male"/>
    <x v="2"/>
    <s v="Dr. Iyer"/>
    <s v="OPD"/>
    <d v="2024-04-28T00:00:00"/>
    <d v="2024-09-27T00:00:00"/>
    <s v="Semi-Private"/>
    <n v="4"/>
    <n v="75269"/>
    <n v="2447"/>
    <n v="26561"/>
    <n v="234453"/>
    <s v="UPI"/>
    <s v="Star Health"/>
    <s v="Recovered"/>
  </r>
  <r>
    <s v="P1320"/>
    <s v="Patient_321"/>
    <n v="64"/>
    <s v="Male"/>
    <x v="4"/>
    <s v="Dr. Mehta"/>
    <s v="Emergency"/>
    <d v="2024-02-08T00:00:00"/>
    <d v="2024-06-03T00:00:00"/>
    <s v="ICU"/>
    <n v="1"/>
    <n v="167026"/>
    <n v="20583"/>
    <n v="28026"/>
    <n v="145207"/>
    <s v="Insurance"/>
    <s v="ICICI Lombard"/>
    <s v="Under Treatment"/>
  </r>
  <r>
    <s v="P1321"/>
    <s v="Patient_322"/>
    <n v="49"/>
    <s v="Male"/>
    <x v="3"/>
    <s v="Dr. Sharma"/>
    <s v="Referral"/>
    <d v="2024-09-24T00:00:00"/>
    <d v="2024-04-12T00:00:00"/>
    <s v="Semi-Private"/>
    <n v="18"/>
    <n v="46458"/>
    <n v="23765"/>
    <n v="15219"/>
    <n v="144645"/>
    <s v="UPI"/>
    <s v="Star Health"/>
    <s v="Under Treatment"/>
  </r>
  <r>
    <s v="P1322"/>
    <s v="Patient_323"/>
    <n v="17"/>
    <s v="Male"/>
    <x v="5"/>
    <s v="Dr. Sharma"/>
    <s v="Emergency"/>
    <d v="2024-08-20T00:00:00"/>
    <d v="2024-08-03T00:00:00"/>
    <s v="Private"/>
    <n v="1"/>
    <n v="94037"/>
    <n v="24906"/>
    <n v="29727"/>
    <n v="87267"/>
    <s v="Insurance"/>
    <s v="Star Health"/>
    <s v="Under Treatment"/>
  </r>
  <r>
    <s v="P1323"/>
    <s v="Patient_324"/>
    <n v="44"/>
    <s v="Female"/>
    <x v="5"/>
    <s v="Dr. Sharma"/>
    <s v="OPD"/>
    <d v="2024-01-18T00:00:00"/>
    <d v="2024-05-30T00:00:00"/>
    <s v="General"/>
    <n v="13"/>
    <n v="157185"/>
    <n v="20567"/>
    <n v="11626"/>
    <n v="146261"/>
    <s v="Cash"/>
    <s v="Star Health"/>
    <s v="Deceased"/>
  </r>
  <r>
    <s v="P1324"/>
    <s v="Patient_325"/>
    <n v="30"/>
    <s v="Female"/>
    <x v="2"/>
    <s v="Dr. Rao"/>
    <s v="OPD"/>
    <d v="2024-05-28T00:00:00"/>
    <d v="2024-03-24T00:00:00"/>
    <s v="Semi-Private"/>
    <n v="10"/>
    <n v="104977"/>
    <n v="15139"/>
    <n v="8066"/>
    <n v="88077"/>
    <s v="Insurance"/>
    <s v="New India Assurance"/>
    <s v="Recovered"/>
  </r>
  <r>
    <s v="P1325"/>
    <s v="Patient_326"/>
    <n v="46"/>
    <s v="Male"/>
    <x v="5"/>
    <s v="Dr. Singh"/>
    <s v="OPD"/>
    <d v="2024-05-28T00:00:00"/>
    <d v="2024-04-20T00:00:00"/>
    <s v="ICU"/>
    <n v="11"/>
    <n v="48939"/>
    <n v="47525"/>
    <n v="12806"/>
    <n v="182718"/>
    <s v="Cash"/>
    <s v="New India Assurance"/>
    <s v="Referred"/>
  </r>
  <r>
    <s v="P1326"/>
    <s v="Patient_327"/>
    <n v="6"/>
    <s v="Male"/>
    <x v="5"/>
    <s v="Dr. Patel"/>
    <s v="Emergency"/>
    <d v="2024-05-05T00:00:00"/>
    <d v="2024-10-02T00:00:00"/>
    <s v="Private"/>
    <n v="9"/>
    <n v="34345"/>
    <n v="39230"/>
    <n v="21554"/>
    <n v="84623"/>
    <s v="UPI"/>
    <s v="None"/>
    <s v="Referred"/>
  </r>
  <r>
    <s v="P1327"/>
    <s v="Patient_328"/>
    <n v="37"/>
    <s v="Female"/>
    <x v="2"/>
    <s v="Dr. Mehta"/>
    <s v="Emergency"/>
    <d v="2024-10-28T00:00:00"/>
    <d v="2024-07-20T00:00:00"/>
    <s v="Private"/>
    <n v="9"/>
    <n v="182385"/>
    <n v="20520"/>
    <n v="24542"/>
    <n v="139004"/>
    <s v="Insurance"/>
    <s v="ICICI Lombard"/>
    <s v="Referred"/>
  </r>
  <r>
    <s v="P1328"/>
    <s v="Patient_329"/>
    <n v="24"/>
    <s v="Female"/>
    <x v="1"/>
    <s v="Dr. Iyer"/>
    <s v="OPD"/>
    <d v="2024-12-25T00:00:00"/>
    <d v="2024-10-11T00:00:00"/>
    <s v="Private"/>
    <n v="5"/>
    <n v="115107"/>
    <n v="20702"/>
    <n v="15586"/>
    <n v="61687"/>
    <s v="UPI"/>
    <s v="HDFC Ergo"/>
    <s v="Recovered"/>
  </r>
  <r>
    <s v="P1329"/>
    <s v="Patient_330"/>
    <n v="46"/>
    <s v="Female"/>
    <x v="1"/>
    <s v="Dr. Mehta"/>
    <s v="Emergency"/>
    <d v="2024-08-25T00:00:00"/>
    <d v="2024-06-22T00:00:00"/>
    <s v="Private"/>
    <n v="1"/>
    <n v="126866"/>
    <n v="26566"/>
    <n v="17887"/>
    <n v="76312"/>
    <s v="Cash"/>
    <s v="HDFC Ergo"/>
    <s v="Referred"/>
  </r>
  <r>
    <s v="P1330"/>
    <s v="Patient_331"/>
    <n v="53"/>
    <s v="Female"/>
    <x v="2"/>
    <s v="Dr. Iyer"/>
    <s v="Emergency"/>
    <d v="2024-05-14T00:00:00"/>
    <d v="2024-11-23T00:00:00"/>
    <s v="ICU"/>
    <n v="17"/>
    <n v="74166"/>
    <n v="8657"/>
    <n v="27542"/>
    <n v="115615"/>
    <s v="Insurance"/>
    <s v="HDFC Ergo"/>
    <s v="Deceased"/>
  </r>
  <r>
    <s v="P1331"/>
    <s v="Patient_332"/>
    <n v="60"/>
    <s v="Male"/>
    <x v="3"/>
    <s v="Dr. Rao"/>
    <s v="OPD"/>
    <d v="2024-05-30T00:00:00"/>
    <d v="2024-07-25T00:00:00"/>
    <s v="General"/>
    <n v="2"/>
    <n v="183933"/>
    <n v="38688"/>
    <n v="24388"/>
    <n v="138976"/>
    <s v="UPI"/>
    <s v="Star Health"/>
    <s v="Recovered"/>
  </r>
  <r>
    <s v="P1332"/>
    <s v="Patient_333"/>
    <n v="63"/>
    <s v="Female"/>
    <x v="5"/>
    <s v="Dr. Sharma"/>
    <s v="Emergency"/>
    <d v="2024-08-23T00:00:00"/>
    <d v="2024-03-04T00:00:00"/>
    <s v="Private"/>
    <n v="13"/>
    <n v="102406"/>
    <n v="31134"/>
    <n v="19350"/>
    <n v="35564"/>
    <s v="Cash"/>
    <s v="New India Assurance"/>
    <s v="Under Treatment"/>
  </r>
  <r>
    <s v="P1333"/>
    <s v="Patient_334"/>
    <n v="85"/>
    <s v="Male"/>
    <x v="5"/>
    <s v="Dr. Rao"/>
    <s v="Referral"/>
    <d v="2024-08-11T00:00:00"/>
    <d v="2024-03-14T00:00:00"/>
    <s v="Semi-Private"/>
    <n v="9"/>
    <n v="54298"/>
    <n v="11345"/>
    <n v="27014"/>
    <n v="36835"/>
    <s v="UPI"/>
    <s v="ICICI Lombard"/>
    <s v="Deceased"/>
  </r>
  <r>
    <s v="P1334"/>
    <s v="Patient_335"/>
    <n v="32"/>
    <s v="Female"/>
    <x v="3"/>
    <s v="Dr. Singh"/>
    <s v="Referral"/>
    <d v="2024-07-21T00:00:00"/>
    <d v="2024-09-08T00:00:00"/>
    <s v="General"/>
    <n v="4"/>
    <n v="183293"/>
    <n v="42185"/>
    <n v="18823"/>
    <n v="200659"/>
    <s v="Card"/>
    <s v="Star Health"/>
    <s v="Under Treatment"/>
  </r>
  <r>
    <s v="P1335"/>
    <s v="Patient_336"/>
    <n v="87"/>
    <s v="Female"/>
    <x v="1"/>
    <s v="Dr. Singh"/>
    <s v="Referral"/>
    <d v="2024-09-12T00:00:00"/>
    <d v="2024-05-04T00:00:00"/>
    <s v="Private"/>
    <n v="5"/>
    <n v="49942"/>
    <n v="28413"/>
    <n v="18519"/>
    <n v="15697"/>
    <s v="Cash"/>
    <s v="New India Assurance"/>
    <s v="Referred"/>
  </r>
  <r>
    <s v="P1336"/>
    <s v="Patient_337"/>
    <n v="33"/>
    <s v="Female"/>
    <x v="0"/>
    <s v="Dr. Iyer"/>
    <s v="Referral"/>
    <d v="2024-03-26T00:00:00"/>
    <d v="2024-05-01T00:00:00"/>
    <s v="General"/>
    <n v="11"/>
    <n v="8453"/>
    <n v="6208"/>
    <n v="10390"/>
    <n v="88165"/>
    <s v="Cash"/>
    <s v="New India Assurance"/>
    <s v="Deceased"/>
  </r>
  <r>
    <s v="P1337"/>
    <s v="Patient_338"/>
    <n v="67"/>
    <s v="Female"/>
    <x v="0"/>
    <s v="Dr. Patel"/>
    <s v="OPD"/>
    <d v="2024-05-29T00:00:00"/>
    <d v="2024-10-02T00:00:00"/>
    <s v="Semi-Private"/>
    <n v="19"/>
    <n v="107811"/>
    <n v="34455"/>
    <n v="8595"/>
    <n v="212994"/>
    <s v="Cash"/>
    <s v="ICICI Lombard"/>
    <s v="Recovered"/>
  </r>
  <r>
    <s v="P1338"/>
    <s v="Patient_339"/>
    <n v="18"/>
    <s v="Female"/>
    <x v="0"/>
    <s v="Dr. Patel"/>
    <s v="OPD"/>
    <d v="2024-08-22T00:00:00"/>
    <d v="2024-04-30T00:00:00"/>
    <s v="Private"/>
    <n v="3"/>
    <n v="59935"/>
    <n v="29018"/>
    <n v="23149"/>
    <n v="156118"/>
    <s v="Insurance"/>
    <s v="ICICI Lombard"/>
    <s v="Deceased"/>
  </r>
  <r>
    <s v="P1339"/>
    <s v="Patient_340"/>
    <n v="25"/>
    <s v="Male"/>
    <x v="1"/>
    <s v="Dr. Iyer"/>
    <s v="OPD"/>
    <d v="2024-12-10T00:00:00"/>
    <d v="2024-11-13T00:00:00"/>
    <s v="Semi-Private"/>
    <n v="12"/>
    <n v="127439"/>
    <n v="46991"/>
    <n v="13219"/>
    <n v="65823"/>
    <s v="Insurance"/>
    <s v="ICICI Lombard"/>
    <s v="Under Treatment"/>
  </r>
  <r>
    <s v="P1340"/>
    <s v="Patient_341"/>
    <n v="54"/>
    <s v="Male"/>
    <x v="1"/>
    <s v="Dr. Singh"/>
    <s v="Referral"/>
    <d v="2024-01-22T00:00:00"/>
    <d v="2024-06-13T00:00:00"/>
    <s v="ICU"/>
    <n v="19"/>
    <n v="179442"/>
    <n v="9080"/>
    <n v="10783"/>
    <n v="212652"/>
    <s v="Insurance"/>
    <s v="Star Health"/>
    <s v="Recovered"/>
  </r>
  <r>
    <s v="P1341"/>
    <s v="Patient_342"/>
    <n v="58"/>
    <s v="Female"/>
    <x v="3"/>
    <s v="Dr. Singh"/>
    <s v="Referral"/>
    <d v="2024-12-13T00:00:00"/>
    <d v="2024-10-13T00:00:00"/>
    <s v="Private"/>
    <n v="19"/>
    <n v="13328"/>
    <n v="22902"/>
    <n v="18779"/>
    <n v="192442"/>
    <s v="Card"/>
    <s v="None"/>
    <s v="Deceased"/>
  </r>
  <r>
    <s v="P1342"/>
    <s v="Patient_343"/>
    <n v="67"/>
    <s v="Female"/>
    <x v="5"/>
    <s v="Dr. Singh"/>
    <s v="Emergency"/>
    <d v="2024-10-11T00:00:00"/>
    <d v="2024-09-22T00:00:00"/>
    <s v="Private"/>
    <n v="13"/>
    <n v="20534"/>
    <n v="10486"/>
    <n v="14731"/>
    <n v="17615"/>
    <s v="Card"/>
    <s v="ICICI Lombard"/>
    <s v="Deceased"/>
  </r>
  <r>
    <s v="P1343"/>
    <s v="Patient_344"/>
    <n v="46"/>
    <s v="Male"/>
    <x v="3"/>
    <s v="Dr. Rao"/>
    <s v="Emergency"/>
    <d v="2024-09-25T00:00:00"/>
    <d v="2024-11-16T00:00:00"/>
    <s v="Private"/>
    <n v="7"/>
    <n v="90280"/>
    <n v="39862"/>
    <n v="23408"/>
    <n v="144132"/>
    <s v="Cash"/>
    <s v="None"/>
    <s v="Deceased"/>
  </r>
  <r>
    <s v="P1344"/>
    <s v="Patient_345"/>
    <n v="24"/>
    <s v="Female"/>
    <x v="3"/>
    <s v="Dr. Singh"/>
    <s v="Referral"/>
    <d v="2024-09-14T00:00:00"/>
    <d v="2024-06-10T00:00:00"/>
    <s v="Private"/>
    <n v="15"/>
    <n v="41320"/>
    <n v="22158"/>
    <n v="29316"/>
    <n v="138499"/>
    <s v="Card"/>
    <s v="Star Health"/>
    <s v="Deceased"/>
  </r>
  <r>
    <s v="P1345"/>
    <s v="Patient_346"/>
    <n v="32"/>
    <s v="Female"/>
    <x v="1"/>
    <s v="Dr. Mehta"/>
    <s v="Referral"/>
    <d v="2024-01-29T00:00:00"/>
    <d v="2024-11-04T00:00:00"/>
    <s v="ICU"/>
    <n v="7"/>
    <n v="54170"/>
    <n v="41460"/>
    <n v="28474"/>
    <n v="84436"/>
    <s v="UPI"/>
    <s v="None"/>
    <s v="Recovered"/>
  </r>
  <r>
    <s v="P1346"/>
    <s v="Patient_347"/>
    <n v="47"/>
    <s v="Male"/>
    <x v="0"/>
    <s v="Dr. Sharma"/>
    <s v="Referral"/>
    <d v="2024-07-31T00:00:00"/>
    <d v="2024-03-30T00:00:00"/>
    <s v="Private"/>
    <n v="8"/>
    <n v="105546"/>
    <n v="44856"/>
    <n v="15198"/>
    <n v="199591"/>
    <s v="Cash"/>
    <s v="HDFC Ergo"/>
    <s v="Under Treatment"/>
  </r>
  <r>
    <s v="P1347"/>
    <s v="Patient_348"/>
    <n v="86"/>
    <s v="Female"/>
    <x v="4"/>
    <s v="Dr. Singh"/>
    <s v="Referral"/>
    <d v="2024-10-09T00:00:00"/>
    <d v="2024-05-22T00:00:00"/>
    <s v="General"/>
    <n v="5"/>
    <n v="85201"/>
    <n v="36871"/>
    <n v="17957"/>
    <n v="128562"/>
    <s v="Cash"/>
    <s v="None"/>
    <s v="Deceased"/>
  </r>
  <r>
    <s v="P1348"/>
    <s v="Patient_349"/>
    <n v="23"/>
    <s v="Female"/>
    <x v="5"/>
    <s v="Dr. Iyer"/>
    <s v="Emergency"/>
    <d v="2024-02-19T00:00:00"/>
    <d v="2024-07-22T00:00:00"/>
    <s v="Private"/>
    <n v="14"/>
    <n v="13640"/>
    <n v="36208"/>
    <n v="5684"/>
    <n v="79117"/>
    <s v="UPI"/>
    <s v="ICICI Lombard"/>
    <s v="Recovered"/>
  </r>
  <r>
    <s v="P1349"/>
    <s v="Patient_350"/>
    <n v="66"/>
    <s v="Male"/>
    <x v="1"/>
    <s v="Dr. Sharma"/>
    <s v="Referral"/>
    <d v="2024-04-04T00:00:00"/>
    <d v="2024-11-05T00:00:00"/>
    <s v="ICU"/>
    <n v="4"/>
    <n v="166121"/>
    <n v="21519"/>
    <n v="2902"/>
    <n v="200230"/>
    <s v="Cash"/>
    <s v="Star Health"/>
    <s v="Under Treatment"/>
  </r>
  <r>
    <s v="P1350"/>
    <s v="Patient_351"/>
    <n v="27"/>
    <s v="Male"/>
    <x v="0"/>
    <s v="Dr. Rao"/>
    <s v="Emergency"/>
    <d v="2024-03-28T00:00:00"/>
    <d v="2024-08-15T00:00:00"/>
    <s v="Private"/>
    <n v="10"/>
    <n v="141690"/>
    <n v="32379"/>
    <n v="5395"/>
    <n v="42782"/>
    <s v="Card"/>
    <s v="ICICI Lombard"/>
    <s v="Deceased"/>
  </r>
  <r>
    <s v="P1351"/>
    <s v="Patient_352"/>
    <n v="2"/>
    <s v="Male"/>
    <x v="4"/>
    <s v="Dr. Iyer"/>
    <s v="Referral"/>
    <d v="2024-02-13T00:00:00"/>
    <d v="2024-11-30T00:00:00"/>
    <s v="General"/>
    <n v="15"/>
    <n v="192125"/>
    <n v="29378"/>
    <n v="24215"/>
    <n v="224781"/>
    <s v="Insurance"/>
    <s v="HDFC Ergo"/>
    <s v="Under Treatment"/>
  </r>
  <r>
    <s v="P1352"/>
    <s v="Patient_353"/>
    <n v="17"/>
    <s v="Female"/>
    <x v="4"/>
    <s v="Dr. Sharma"/>
    <s v="Referral"/>
    <d v="2024-10-04T00:00:00"/>
    <d v="2024-08-10T00:00:00"/>
    <s v="ICU"/>
    <n v="18"/>
    <n v="137992"/>
    <n v="40892"/>
    <n v="11904"/>
    <n v="86533"/>
    <s v="UPI"/>
    <s v="ICICI Lombard"/>
    <s v="Under Treatment"/>
  </r>
  <r>
    <s v="P1353"/>
    <s v="Patient_354"/>
    <n v="33"/>
    <s v="Male"/>
    <x v="1"/>
    <s v="Dr. Iyer"/>
    <s v="Referral"/>
    <d v="2024-06-19T00:00:00"/>
    <d v="2024-02-11T00:00:00"/>
    <s v="ICU"/>
    <n v="13"/>
    <n v="48937"/>
    <n v="15031"/>
    <n v="29113"/>
    <n v="248011"/>
    <s v="Card"/>
    <s v="ICICI Lombard"/>
    <s v="Recovered"/>
  </r>
  <r>
    <s v="P1354"/>
    <s v="Patient_355"/>
    <n v="9"/>
    <s v="Male"/>
    <x v="2"/>
    <s v="Dr. Rao"/>
    <s v="Emergency"/>
    <d v="2024-07-07T00:00:00"/>
    <d v="2024-07-15T00:00:00"/>
    <s v="General"/>
    <n v="8"/>
    <n v="148279"/>
    <n v="15536"/>
    <n v="15661"/>
    <n v="197327"/>
    <s v="UPI"/>
    <s v="ICICI Lombard"/>
    <s v="Under Treatment"/>
  </r>
  <r>
    <s v="P1355"/>
    <s v="Patient_356"/>
    <n v="43"/>
    <s v="Male"/>
    <x v="5"/>
    <s v="Dr. Mehta"/>
    <s v="Emergency"/>
    <d v="2024-12-18T00:00:00"/>
    <d v="2024-03-09T00:00:00"/>
    <s v="General"/>
    <n v="9"/>
    <n v="169044"/>
    <n v="1446"/>
    <n v="9843"/>
    <n v="80684"/>
    <s v="UPI"/>
    <s v="New India Assurance"/>
    <s v="Recovered"/>
  </r>
  <r>
    <s v="P1356"/>
    <s v="Patient_357"/>
    <n v="48"/>
    <s v="Male"/>
    <x v="4"/>
    <s v="Dr. Rao"/>
    <s v="OPD"/>
    <d v="2024-07-02T00:00:00"/>
    <d v="2024-09-21T00:00:00"/>
    <s v="General"/>
    <n v="16"/>
    <n v="146871"/>
    <n v="37683"/>
    <n v="11137"/>
    <n v="195990"/>
    <s v="Cash"/>
    <s v="HDFC Ergo"/>
    <s v="Deceased"/>
  </r>
  <r>
    <s v="P1357"/>
    <s v="Patient_358"/>
    <n v="39"/>
    <s v="Male"/>
    <x v="1"/>
    <s v="Dr. Rao"/>
    <s v="Referral"/>
    <d v="2024-01-03T00:00:00"/>
    <d v="2024-01-03T00:00:00"/>
    <s v="General"/>
    <n v="19"/>
    <n v="164988"/>
    <n v="49555"/>
    <n v="2456"/>
    <n v="223356"/>
    <s v="Cash"/>
    <s v="ICICI Lombard"/>
    <s v="Under Treatment"/>
  </r>
  <r>
    <s v="P1358"/>
    <s v="Patient_359"/>
    <n v="42"/>
    <s v="Male"/>
    <x v="1"/>
    <s v="Dr. Iyer"/>
    <s v="OPD"/>
    <d v="2024-07-09T00:00:00"/>
    <d v="2024-12-27T00:00:00"/>
    <s v="General"/>
    <n v="16"/>
    <n v="75463"/>
    <n v="18618"/>
    <n v="7523"/>
    <n v="87558"/>
    <s v="Card"/>
    <s v="ICICI Lombard"/>
    <s v="Under Treatment"/>
  </r>
  <r>
    <s v="P1359"/>
    <s v="Patient_360"/>
    <n v="26"/>
    <s v="Female"/>
    <x v="0"/>
    <s v="Dr. Patel"/>
    <s v="OPD"/>
    <d v="2024-04-27T00:00:00"/>
    <d v="2024-05-05T00:00:00"/>
    <s v="ICU"/>
    <n v="7"/>
    <n v="98500"/>
    <n v="7587"/>
    <n v="29634"/>
    <n v="224621"/>
    <s v="UPI"/>
    <s v="ICICI Lombard"/>
    <s v="Referred"/>
  </r>
  <r>
    <s v="P1360"/>
    <s v="Patient_361"/>
    <n v="50"/>
    <s v="Female"/>
    <x v="2"/>
    <s v="Dr. Singh"/>
    <s v="Emergency"/>
    <d v="2024-01-19T00:00:00"/>
    <d v="2024-04-20T00:00:00"/>
    <s v="ICU"/>
    <n v="14"/>
    <n v="42158"/>
    <n v="32480"/>
    <n v="14562"/>
    <n v="243295"/>
    <s v="Cash"/>
    <s v="Star Health"/>
    <s v="Deceased"/>
  </r>
  <r>
    <s v="P1361"/>
    <s v="Patient_362"/>
    <n v="25"/>
    <s v="Male"/>
    <x v="5"/>
    <s v="Dr. Singh"/>
    <s v="Emergency"/>
    <d v="2024-01-23T00:00:00"/>
    <d v="2024-03-27T00:00:00"/>
    <s v="Private"/>
    <n v="14"/>
    <n v="89607"/>
    <n v="33994"/>
    <n v="14833"/>
    <n v="89422"/>
    <s v="Cash"/>
    <s v="New India Assurance"/>
    <s v="Deceased"/>
  </r>
  <r>
    <s v="P1362"/>
    <s v="Patient_363"/>
    <n v="24"/>
    <s v="Male"/>
    <x v="3"/>
    <s v="Dr. Mehta"/>
    <s v="OPD"/>
    <d v="2024-01-30T00:00:00"/>
    <d v="2024-04-30T00:00:00"/>
    <s v="Private"/>
    <n v="4"/>
    <n v="124639"/>
    <n v="21527"/>
    <n v="4407"/>
    <n v="164328"/>
    <s v="UPI"/>
    <s v="Star Health"/>
    <s v="Referred"/>
  </r>
  <r>
    <s v="P1363"/>
    <s v="Patient_364"/>
    <n v="13"/>
    <s v="Male"/>
    <x v="0"/>
    <s v="Dr. Mehta"/>
    <s v="Referral"/>
    <d v="2024-10-21T00:00:00"/>
    <d v="2024-05-07T00:00:00"/>
    <s v="Semi-Private"/>
    <n v="15"/>
    <n v="76696"/>
    <n v="24569"/>
    <n v="1307"/>
    <n v="169077"/>
    <s v="Card"/>
    <s v="New India Assurance"/>
    <s v="Referred"/>
  </r>
  <r>
    <s v="P1364"/>
    <s v="Patient_365"/>
    <n v="60"/>
    <s v="Female"/>
    <x v="4"/>
    <s v="Dr. Singh"/>
    <s v="Emergency"/>
    <d v="2024-04-17T00:00:00"/>
    <d v="2024-09-12T00:00:00"/>
    <s v="Private"/>
    <n v="3"/>
    <n v="66510"/>
    <n v="12151"/>
    <n v="25262"/>
    <n v="14638"/>
    <s v="Card"/>
    <s v="ICICI Lombard"/>
    <s v="Recovered"/>
  </r>
  <r>
    <s v="P1365"/>
    <s v="Patient_366"/>
    <n v="7"/>
    <s v="Female"/>
    <x v="4"/>
    <s v="Dr. Patel"/>
    <s v="Referral"/>
    <d v="2024-10-07T00:00:00"/>
    <d v="2024-07-02T00:00:00"/>
    <s v="Private"/>
    <n v="5"/>
    <n v="125076"/>
    <n v="6558"/>
    <n v="14531"/>
    <n v="45419"/>
    <s v="UPI"/>
    <s v="HDFC Ergo"/>
    <s v="Recovered"/>
  </r>
  <r>
    <s v="P1366"/>
    <s v="Patient_367"/>
    <n v="57"/>
    <s v="Female"/>
    <x v="0"/>
    <s v="Dr. Singh"/>
    <s v="Referral"/>
    <d v="2024-05-07T00:00:00"/>
    <d v="2024-01-17T00:00:00"/>
    <s v="General"/>
    <n v="1"/>
    <n v="63692"/>
    <n v="45739"/>
    <n v="5327"/>
    <n v="41377"/>
    <s v="Card"/>
    <s v="None"/>
    <s v="Under Treatment"/>
  </r>
  <r>
    <s v="P1367"/>
    <s v="Patient_368"/>
    <n v="36"/>
    <s v="Female"/>
    <x v="1"/>
    <s v="Dr. Patel"/>
    <s v="OPD"/>
    <d v="2024-08-16T00:00:00"/>
    <d v="2024-03-03T00:00:00"/>
    <s v="General"/>
    <n v="3"/>
    <n v="135841"/>
    <n v="33954"/>
    <n v="14199"/>
    <n v="114244"/>
    <s v="Cash"/>
    <s v="None"/>
    <s v="Under Treatment"/>
  </r>
  <r>
    <s v="P1368"/>
    <s v="Patient_369"/>
    <n v="45"/>
    <s v="Female"/>
    <x v="4"/>
    <s v="Dr. Mehta"/>
    <s v="OPD"/>
    <d v="2024-04-20T00:00:00"/>
    <d v="2025-01-04T00:00:00"/>
    <s v="Private"/>
    <n v="15"/>
    <n v="197816"/>
    <n v="48448"/>
    <n v="5024"/>
    <n v="182188"/>
    <s v="UPI"/>
    <s v="ICICI Lombard"/>
    <s v="Under Treatment"/>
  </r>
  <r>
    <s v="P1369"/>
    <s v="Patient_370"/>
    <n v="20"/>
    <s v="Female"/>
    <x v="2"/>
    <s v="Dr. Sharma"/>
    <s v="OPD"/>
    <d v="2024-05-15T00:00:00"/>
    <d v="2024-06-07T00:00:00"/>
    <s v="Semi-Private"/>
    <n v="8"/>
    <n v="20810"/>
    <n v="48327"/>
    <n v="15693"/>
    <n v="175706"/>
    <s v="Cash"/>
    <s v="Star Health"/>
    <s v="Under Treatment"/>
  </r>
  <r>
    <s v="P1370"/>
    <s v="Patient_371"/>
    <n v="65"/>
    <s v="Female"/>
    <x v="5"/>
    <s v="Dr. Iyer"/>
    <s v="OPD"/>
    <d v="2024-12-27T00:00:00"/>
    <d v="2024-09-25T00:00:00"/>
    <s v="General"/>
    <n v="4"/>
    <n v="141198"/>
    <n v="44837"/>
    <n v="26383"/>
    <n v="221363"/>
    <s v="Insurance"/>
    <s v="HDFC Ergo"/>
    <s v="Recovered"/>
  </r>
  <r>
    <s v="P1371"/>
    <s v="Patient_372"/>
    <n v="8"/>
    <s v="Female"/>
    <x v="2"/>
    <s v="Dr. Mehta"/>
    <s v="Emergency"/>
    <d v="2024-07-04T00:00:00"/>
    <d v="2024-02-05T00:00:00"/>
    <s v="Private"/>
    <n v="2"/>
    <n v="166081"/>
    <n v="36303"/>
    <n v="16723"/>
    <n v="31382"/>
    <s v="Insurance"/>
    <s v="New India Assurance"/>
    <s v="Deceased"/>
  </r>
  <r>
    <s v="P1372"/>
    <s v="Patient_373"/>
    <n v="16"/>
    <s v="Female"/>
    <x v="4"/>
    <s v="Dr. Mehta"/>
    <s v="Emergency"/>
    <d v="2024-05-23T00:00:00"/>
    <d v="2024-09-24T00:00:00"/>
    <s v="Private"/>
    <n v="10"/>
    <n v="116718"/>
    <n v="35700"/>
    <n v="19168"/>
    <n v="195135"/>
    <s v="Card"/>
    <s v="ICICI Lombard"/>
    <s v="Under Treatment"/>
  </r>
  <r>
    <s v="P1373"/>
    <s v="Patient_374"/>
    <n v="14"/>
    <s v="Male"/>
    <x v="3"/>
    <s v="Dr. Rao"/>
    <s v="OPD"/>
    <d v="2024-03-12T00:00:00"/>
    <d v="2024-03-05T00:00:00"/>
    <s v="ICU"/>
    <n v="4"/>
    <n v="95932"/>
    <n v="28500"/>
    <n v="5813"/>
    <n v="161466"/>
    <s v="Insurance"/>
    <s v="HDFC Ergo"/>
    <s v="Deceased"/>
  </r>
  <r>
    <s v="P1374"/>
    <s v="Patient_375"/>
    <n v="76"/>
    <s v="Male"/>
    <x v="5"/>
    <s v="Dr. Rao"/>
    <s v="Emergency"/>
    <d v="2024-05-08T00:00:00"/>
    <d v="2024-02-20T00:00:00"/>
    <s v="Semi-Private"/>
    <n v="3"/>
    <n v="5192"/>
    <n v="3032"/>
    <n v="14098"/>
    <n v="75789"/>
    <s v="Cash"/>
    <s v="HDFC Ergo"/>
    <s v="Under Treatment"/>
  </r>
  <r>
    <s v="P1375"/>
    <s v="Patient_376"/>
    <n v="87"/>
    <s v="Male"/>
    <x v="5"/>
    <s v="Dr. Rao"/>
    <s v="OPD"/>
    <d v="2024-12-29T00:00:00"/>
    <d v="2024-09-12T00:00:00"/>
    <s v="ICU"/>
    <n v="2"/>
    <n v="41413"/>
    <n v="2252"/>
    <n v="13558"/>
    <n v="242318"/>
    <s v="Insurance"/>
    <s v="New India Assurance"/>
    <s v="Referred"/>
  </r>
  <r>
    <s v="P1376"/>
    <s v="Patient_377"/>
    <n v="15"/>
    <s v="Male"/>
    <x v="0"/>
    <s v="Dr. Iyer"/>
    <s v="Referral"/>
    <d v="2024-09-17T00:00:00"/>
    <d v="2024-05-29T00:00:00"/>
    <s v="Semi-Private"/>
    <n v="17"/>
    <n v="148888"/>
    <n v="6509"/>
    <n v="17641"/>
    <n v="118634"/>
    <s v="Cash"/>
    <s v="HDFC Ergo"/>
    <s v="Under Treatment"/>
  </r>
  <r>
    <s v="P1377"/>
    <s v="Patient_378"/>
    <n v="66"/>
    <s v="Female"/>
    <x v="0"/>
    <s v="Dr. Rao"/>
    <s v="Referral"/>
    <d v="2024-01-03T00:00:00"/>
    <d v="2024-11-21T00:00:00"/>
    <s v="General"/>
    <n v="13"/>
    <n v="44082"/>
    <n v="38842"/>
    <n v="29307"/>
    <n v="139936"/>
    <s v="Card"/>
    <s v="Star Health"/>
    <s v="Under Treatment"/>
  </r>
  <r>
    <s v="P1378"/>
    <s v="Patient_379"/>
    <n v="32"/>
    <s v="Female"/>
    <x v="3"/>
    <s v="Dr. Patel"/>
    <s v="Referral"/>
    <d v="2024-04-13T00:00:00"/>
    <d v="2024-10-31T00:00:00"/>
    <s v="Semi-Private"/>
    <n v="5"/>
    <n v="70048"/>
    <n v="14900"/>
    <n v="5387"/>
    <n v="107572"/>
    <s v="Card"/>
    <s v="Star Health"/>
    <s v="Under Treatment"/>
  </r>
  <r>
    <s v="P1379"/>
    <s v="Patient_380"/>
    <n v="87"/>
    <s v="Male"/>
    <x v="1"/>
    <s v="Dr. Singh"/>
    <s v="OPD"/>
    <d v="2024-08-11T00:00:00"/>
    <d v="2024-10-03T00:00:00"/>
    <s v="Private"/>
    <n v="9"/>
    <n v="128130"/>
    <n v="15523"/>
    <n v="4354"/>
    <n v="179294"/>
    <s v="Cash"/>
    <s v="Star Health"/>
    <s v="Recovered"/>
  </r>
  <r>
    <s v="P1380"/>
    <s v="Patient_381"/>
    <n v="63"/>
    <s v="Female"/>
    <x v="5"/>
    <s v="Dr. Sharma"/>
    <s v="Referral"/>
    <d v="2024-11-15T00:00:00"/>
    <d v="2024-12-23T00:00:00"/>
    <s v="Private"/>
    <n v="6"/>
    <n v="55940"/>
    <n v="2881"/>
    <n v="12958"/>
    <n v="152738"/>
    <s v="Insurance"/>
    <s v="HDFC Ergo"/>
    <s v="Referred"/>
  </r>
  <r>
    <s v="P1381"/>
    <s v="Patient_382"/>
    <n v="86"/>
    <s v="Male"/>
    <x v="3"/>
    <s v="Dr. Mehta"/>
    <s v="Emergency"/>
    <d v="2024-12-27T00:00:00"/>
    <d v="2024-06-21T00:00:00"/>
    <s v="Semi-Private"/>
    <n v="5"/>
    <n v="168202"/>
    <n v="34037"/>
    <n v="27282"/>
    <n v="131664"/>
    <s v="Card"/>
    <s v="Star Health"/>
    <s v="Under Treatment"/>
  </r>
  <r>
    <s v="P1382"/>
    <s v="Patient_383"/>
    <n v="51"/>
    <s v="Female"/>
    <x v="0"/>
    <s v="Dr. Patel"/>
    <s v="Referral"/>
    <d v="2024-12-19T00:00:00"/>
    <d v="2024-07-20T00:00:00"/>
    <s v="Semi-Private"/>
    <n v="10"/>
    <n v="45142"/>
    <n v="2630"/>
    <n v="15036"/>
    <n v="160027"/>
    <s v="UPI"/>
    <s v="New India Assurance"/>
    <s v="Under Treatment"/>
  </r>
  <r>
    <s v="P1383"/>
    <s v="Patient_384"/>
    <n v="25"/>
    <s v="Male"/>
    <x v="0"/>
    <s v="Dr. Sharma"/>
    <s v="Referral"/>
    <d v="2024-01-10T00:00:00"/>
    <d v="2024-11-20T00:00:00"/>
    <s v="Semi-Private"/>
    <n v="8"/>
    <n v="41468"/>
    <n v="21789"/>
    <n v="4058"/>
    <n v="118674"/>
    <s v="Card"/>
    <s v="HDFC Ergo"/>
    <s v="Deceased"/>
  </r>
  <r>
    <s v="P1384"/>
    <s v="Patient_385"/>
    <n v="58"/>
    <s v="Female"/>
    <x v="5"/>
    <s v="Dr. Patel"/>
    <s v="Referral"/>
    <d v="2024-10-28T00:00:00"/>
    <d v="2024-02-05T00:00:00"/>
    <s v="ICU"/>
    <n v="7"/>
    <n v="166770"/>
    <n v="23523"/>
    <n v="10272"/>
    <n v="111533"/>
    <s v="Insurance"/>
    <s v="None"/>
    <s v="Referred"/>
  </r>
  <r>
    <s v="P1385"/>
    <s v="Patient_386"/>
    <n v="63"/>
    <s v="Female"/>
    <x v="2"/>
    <s v="Dr. Patel"/>
    <s v="Emergency"/>
    <d v="2024-08-18T00:00:00"/>
    <d v="2024-08-04T00:00:00"/>
    <s v="Semi-Private"/>
    <n v="7"/>
    <n v="146727"/>
    <n v="18958"/>
    <n v="17845"/>
    <n v="89845"/>
    <s v="UPI"/>
    <s v="HDFC Ergo"/>
    <s v="Under Treatment"/>
  </r>
  <r>
    <s v="P1386"/>
    <s v="Patient_387"/>
    <n v="62"/>
    <s v="Male"/>
    <x v="4"/>
    <s v="Dr. Mehta"/>
    <s v="OPD"/>
    <d v="2024-08-06T00:00:00"/>
    <d v="2024-03-06T00:00:00"/>
    <s v="General"/>
    <n v="6"/>
    <n v="183969"/>
    <n v="47151"/>
    <n v="20731"/>
    <n v="77590"/>
    <s v="Insurance"/>
    <s v="New India Assurance"/>
    <s v="Deceased"/>
  </r>
  <r>
    <s v="P1387"/>
    <s v="Patient_388"/>
    <n v="22"/>
    <s v="Female"/>
    <x v="0"/>
    <s v="Dr. Singh"/>
    <s v="Emergency"/>
    <d v="2024-03-06T00:00:00"/>
    <d v="2024-01-09T00:00:00"/>
    <s v="ICU"/>
    <n v="3"/>
    <n v="166147"/>
    <n v="49920"/>
    <n v="23610"/>
    <n v="135775"/>
    <s v="Cash"/>
    <s v="None"/>
    <s v="Deceased"/>
  </r>
  <r>
    <s v="P1388"/>
    <s v="Patient_389"/>
    <n v="58"/>
    <s v="Male"/>
    <x v="1"/>
    <s v="Dr. Rao"/>
    <s v="OPD"/>
    <d v="2024-04-21T00:00:00"/>
    <d v="2024-10-28T00:00:00"/>
    <s v="ICU"/>
    <n v="19"/>
    <n v="145431"/>
    <n v="44852"/>
    <n v="4075"/>
    <n v="74471"/>
    <s v="UPI"/>
    <s v="HDFC Ergo"/>
    <s v="Recovered"/>
  </r>
  <r>
    <s v="P1389"/>
    <s v="Patient_390"/>
    <n v="58"/>
    <s v="Male"/>
    <x v="1"/>
    <s v="Dr. Iyer"/>
    <s v="OPD"/>
    <d v="2024-01-13T00:00:00"/>
    <d v="2024-12-09T00:00:00"/>
    <s v="Semi-Private"/>
    <n v="15"/>
    <n v="134048"/>
    <n v="2695"/>
    <n v="25951"/>
    <n v="249548"/>
    <s v="Insurance"/>
    <s v="Star Health"/>
    <s v="Deceased"/>
  </r>
  <r>
    <s v="P1390"/>
    <s v="Patient_391"/>
    <n v="86"/>
    <s v="Male"/>
    <x v="0"/>
    <s v="Dr. Singh"/>
    <s v="Referral"/>
    <d v="2024-03-26T00:00:00"/>
    <d v="2024-11-28T00:00:00"/>
    <s v="General"/>
    <n v="4"/>
    <n v="47056"/>
    <n v="15821"/>
    <n v="2918"/>
    <n v="227386"/>
    <s v="UPI"/>
    <s v="ICICI Lombard"/>
    <s v="Under Treatment"/>
  </r>
  <r>
    <s v="P1391"/>
    <s v="Patient_392"/>
    <n v="49"/>
    <s v="Male"/>
    <x v="2"/>
    <s v="Dr. Iyer"/>
    <s v="OPD"/>
    <d v="2024-08-21T00:00:00"/>
    <d v="2024-03-17T00:00:00"/>
    <s v="ICU"/>
    <n v="12"/>
    <n v="56831"/>
    <n v="4262"/>
    <n v="4698"/>
    <n v="51298"/>
    <s v="Insurance"/>
    <s v="ICICI Lombard"/>
    <s v="Recovered"/>
  </r>
  <r>
    <s v="P1392"/>
    <s v="Patient_393"/>
    <n v="52"/>
    <s v="Female"/>
    <x v="2"/>
    <s v="Dr. Mehta"/>
    <s v="Emergency"/>
    <d v="2024-03-30T00:00:00"/>
    <d v="2024-06-23T00:00:00"/>
    <s v="Private"/>
    <n v="6"/>
    <n v="64191"/>
    <n v="2445"/>
    <n v="1501"/>
    <n v="202180"/>
    <s v="UPI"/>
    <s v="Star Health"/>
    <s v="Recovered"/>
  </r>
  <r>
    <s v="P1393"/>
    <s v="Patient_394"/>
    <n v="42"/>
    <s v="Female"/>
    <x v="3"/>
    <s v="Dr. Mehta"/>
    <s v="Emergency"/>
    <d v="2024-11-09T00:00:00"/>
    <d v="2024-02-17T00:00:00"/>
    <s v="ICU"/>
    <n v="19"/>
    <n v="126948"/>
    <n v="17436"/>
    <n v="22128"/>
    <n v="56924"/>
    <s v="Insurance"/>
    <s v="ICICI Lombard"/>
    <s v="Under Treatment"/>
  </r>
  <r>
    <s v="P1394"/>
    <s v="Patient_395"/>
    <n v="70"/>
    <s v="Female"/>
    <x v="1"/>
    <s v="Dr. Mehta"/>
    <s v="OPD"/>
    <d v="2024-02-23T00:00:00"/>
    <d v="2024-01-16T00:00:00"/>
    <s v="Semi-Private"/>
    <n v="4"/>
    <n v="169344"/>
    <n v="10949"/>
    <n v="28460"/>
    <n v="155781"/>
    <s v="Cash"/>
    <s v="ICICI Lombard"/>
    <s v="Referred"/>
  </r>
  <r>
    <s v="P1395"/>
    <s v="Patient_396"/>
    <n v="15"/>
    <s v="Male"/>
    <x v="3"/>
    <s v="Dr. Sharma"/>
    <s v="Referral"/>
    <d v="2024-01-12T00:00:00"/>
    <d v="2024-12-27T00:00:00"/>
    <s v="General"/>
    <n v="15"/>
    <n v="113117"/>
    <n v="24963"/>
    <n v="7619"/>
    <n v="17726"/>
    <s v="UPI"/>
    <s v="Star Health"/>
    <s v="Deceased"/>
  </r>
  <r>
    <s v="P1396"/>
    <s v="Patient_397"/>
    <n v="54"/>
    <s v="Female"/>
    <x v="1"/>
    <s v="Dr. Iyer"/>
    <s v="Referral"/>
    <d v="2024-07-27T00:00:00"/>
    <d v="2024-05-27T00:00:00"/>
    <s v="Semi-Private"/>
    <n v="9"/>
    <n v="19671"/>
    <n v="30932"/>
    <n v="20950"/>
    <n v="199896"/>
    <s v="UPI"/>
    <s v="Star Health"/>
    <s v="Recovered"/>
  </r>
  <r>
    <s v="P1397"/>
    <s v="Patient_398"/>
    <n v="60"/>
    <s v="Male"/>
    <x v="4"/>
    <s v="Dr. Singh"/>
    <s v="Emergency"/>
    <d v="2024-01-14T00:00:00"/>
    <d v="2024-01-27T00:00:00"/>
    <s v="Private"/>
    <n v="5"/>
    <n v="32048"/>
    <n v="7901"/>
    <n v="19729"/>
    <n v="48542"/>
    <s v="UPI"/>
    <s v="HDFC Ergo"/>
    <s v="Referred"/>
  </r>
  <r>
    <s v="P1398"/>
    <s v="Patient_399"/>
    <n v="8"/>
    <s v="Female"/>
    <x v="4"/>
    <s v="Dr. Singh"/>
    <s v="Referral"/>
    <d v="2024-04-30T00:00:00"/>
    <d v="2024-11-04T00:00:00"/>
    <s v="Private"/>
    <n v="13"/>
    <n v="30963"/>
    <n v="34487"/>
    <n v="10173"/>
    <n v="159317"/>
    <s v="UPI"/>
    <s v="HDFC Ergo"/>
    <s v="Under Treatment"/>
  </r>
  <r>
    <s v="P1399"/>
    <s v="Patient_400"/>
    <n v="53"/>
    <s v="Female"/>
    <x v="5"/>
    <s v="Dr. Patel"/>
    <s v="OPD"/>
    <d v="2024-01-20T00:00:00"/>
    <d v="2024-04-03T00:00:00"/>
    <s v="Private"/>
    <n v="18"/>
    <n v="48954"/>
    <n v="9597"/>
    <n v="28377"/>
    <n v="42753"/>
    <s v="Cash"/>
    <s v="Star Health"/>
    <s v="Deceased"/>
  </r>
  <r>
    <s v="P1400"/>
    <s v="Patient_401"/>
    <n v="60"/>
    <s v="Female"/>
    <x v="3"/>
    <s v="Dr. Patel"/>
    <s v="OPD"/>
    <d v="2024-03-15T00:00:00"/>
    <d v="2024-08-20T00:00:00"/>
    <s v="Semi-Private"/>
    <n v="5"/>
    <n v="100430"/>
    <n v="7855"/>
    <n v="25733"/>
    <n v="87788"/>
    <s v="UPI"/>
    <s v="New India Assurance"/>
    <s v="Deceased"/>
  </r>
  <r>
    <s v="P1401"/>
    <s v="Patient_402"/>
    <n v="5"/>
    <s v="Male"/>
    <x v="0"/>
    <s v="Dr. Patel"/>
    <s v="Emergency"/>
    <d v="2024-08-30T00:00:00"/>
    <d v="2024-01-22T00:00:00"/>
    <s v="ICU"/>
    <n v="16"/>
    <n v="5717"/>
    <n v="19678"/>
    <n v="5816"/>
    <n v="29316"/>
    <s v="Card"/>
    <s v="ICICI Lombard"/>
    <s v="Recovered"/>
  </r>
  <r>
    <s v="P1402"/>
    <s v="Patient_403"/>
    <n v="68"/>
    <s v="Female"/>
    <x v="3"/>
    <s v="Dr. Mehta"/>
    <s v="OPD"/>
    <d v="2024-08-10T00:00:00"/>
    <d v="2024-11-03T00:00:00"/>
    <s v="Semi-Private"/>
    <n v="19"/>
    <n v="16676"/>
    <n v="9263"/>
    <n v="16744"/>
    <n v="241979"/>
    <s v="Cash"/>
    <s v="HDFC Ergo"/>
    <s v="Deceased"/>
  </r>
  <r>
    <s v="P1403"/>
    <s v="Patient_404"/>
    <n v="6"/>
    <s v="Female"/>
    <x v="0"/>
    <s v="Dr. Singh"/>
    <s v="Emergency"/>
    <d v="2024-03-10T00:00:00"/>
    <d v="2024-02-08T00:00:00"/>
    <s v="General"/>
    <n v="14"/>
    <n v="140506"/>
    <n v="48288"/>
    <n v="27856"/>
    <n v="92698"/>
    <s v="Card"/>
    <s v="ICICI Lombard"/>
    <s v="Deceased"/>
  </r>
  <r>
    <s v="P1404"/>
    <s v="Patient_405"/>
    <n v="47"/>
    <s v="Male"/>
    <x v="2"/>
    <s v="Dr. Iyer"/>
    <s v="OPD"/>
    <d v="2024-11-07T00:00:00"/>
    <d v="2024-10-03T00:00:00"/>
    <s v="ICU"/>
    <n v="16"/>
    <n v="185882"/>
    <n v="26805"/>
    <n v="17306"/>
    <n v="23960"/>
    <s v="UPI"/>
    <s v="None"/>
    <s v="Deceased"/>
  </r>
  <r>
    <s v="P1405"/>
    <s v="Patient_406"/>
    <n v="55"/>
    <s v="Female"/>
    <x v="3"/>
    <s v="Dr. Mehta"/>
    <s v="Emergency"/>
    <d v="2024-07-29T00:00:00"/>
    <d v="2024-06-06T00:00:00"/>
    <s v="Private"/>
    <n v="15"/>
    <n v="123696"/>
    <n v="27143"/>
    <n v="23599"/>
    <n v="38791"/>
    <s v="Insurance"/>
    <s v="Star Health"/>
    <s v="Deceased"/>
  </r>
  <r>
    <s v="P1406"/>
    <s v="Patient_407"/>
    <n v="40"/>
    <s v="Male"/>
    <x v="2"/>
    <s v="Dr. Sharma"/>
    <s v="Referral"/>
    <d v="2024-04-10T00:00:00"/>
    <d v="2024-06-28T00:00:00"/>
    <s v="Semi-Private"/>
    <n v="4"/>
    <n v="135830"/>
    <n v="12874"/>
    <n v="12373"/>
    <n v="246838"/>
    <s v="Card"/>
    <s v="New India Assurance"/>
    <s v="Under Treatment"/>
  </r>
  <r>
    <s v="P1407"/>
    <s v="Patient_408"/>
    <n v="52"/>
    <s v="Female"/>
    <x v="4"/>
    <s v="Dr. Patel"/>
    <s v="OPD"/>
    <d v="2024-07-04T00:00:00"/>
    <d v="2024-05-12T00:00:00"/>
    <s v="Private"/>
    <n v="7"/>
    <n v="9994"/>
    <n v="28529"/>
    <n v="4766"/>
    <n v="33216"/>
    <s v="UPI"/>
    <s v="None"/>
    <s v="Referred"/>
  </r>
  <r>
    <s v="P1408"/>
    <s v="Patient_409"/>
    <n v="16"/>
    <s v="Male"/>
    <x v="4"/>
    <s v="Dr. Mehta"/>
    <s v="OPD"/>
    <d v="2024-05-11T00:00:00"/>
    <d v="2024-11-07T00:00:00"/>
    <s v="Private"/>
    <n v="16"/>
    <n v="9234"/>
    <n v="21866"/>
    <n v="8049"/>
    <n v="171539"/>
    <s v="Card"/>
    <s v="None"/>
    <s v="Under Treatment"/>
  </r>
  <r>
    <s v="P1409"/>
    <s v="Patient_410"/>
    <n v="13"/>
    <s v="Male"/>
    <x v="5"/>
    <s v="Dr. Mehta"/>
    <s v="Emergency"/>
    <d v="2024-04-20T00:00:00"/>
    <d v="2024-12-14T00:00:00"/>
    <s v="General"/>
    <n v="8"/>
    <n v="74300"/>
    <n v="15079"/>
    <n v="23200"/>
    <n v="72427"/>
    <s v="UPI"/>
    <s v="None"/>
    <s v="Under Treatment"/>
  </r>
  <r>
    <s v="P1410"/>
    <s v="Patient_411"/>
    <n v="30"/>
    <s v="Female"/>
    <x v="3"/>
    <s v="Dr. Sharma"/>
    <s v="Emergency"/>
    <d v="2024-05-11T00:00:00"/>
    <d v="2024-01-29T00:00:00"/>
    <s v="ICU"/>
    <n v="17"/>
    <n v="48949"/>
    <n v="8243"/>
    <n v="19594"/>
    <n v="120470"/>
    <s v="UPI"/>
    <s v="Star Health"/>
    <s v="Recovered"/>
  </r>
  <r>
    <s v="P1411"/>
    <s v="Patient_412"/>
    <n v="19"/>
    <s v="Male"/>
    <x v="2"/>
    <s v="Dr. Rao"/>
    <s v="OPD"/>
    <d v="2024-01-20T00:00:00"/>
    <d v="2024-09-17T00:00:00"/>
    <s v="General"/>
    <n v="16"/>
    <n v="42405"/>
    <n v="30872"/>
    <n v="25528"/>
    <n v="201119"/>
    <s v="UPI"/>
    <s v="HDFC Ergo"/>
    <s v="Deceased"/>
  </r>
  <r>
    <s v="P1412"/>
    <s v="Patient_413"/>
    <n v="17"/>
    <s v="Male"/>
    <x v="0"/>
    <s v="Dr. Singh"/>
    <s v="Emergency"/>
    <d v="2024-01-24T00:00:00"/>
    <d v="2024-03-17T00:00:00"/>
    <s v="General"/>
    <n v="10"/>
    <n v="39872"/>
    <n v="10018"/>
    <n v="11089"/>
    <n v="81290"/>
    <s v="Insurance"/>
    <s v="Star Health"/>
    <s v="Under Treatment"/>
  </r>
  <r>
    <s v="P1413"/>
    <s v="Patient_414"/>
    <n v="63"/>
    <s v="Male"/>
    <x v="4"/>
    <s v="Dr. Iyer"/>
    <s v="OPD"/>
    <d v="2024-08-14T00:00:00"/>
    <d v="2024-03-08T00:00:00"/>
    <s v="General"/>
    <n v="10"/>
    <n v="47215"/>
    <n v="13100"/>
    <n v="24953"/>
    <n v="55014"/>
    <s v="Card"/>
    <s v="HDFC Ergo"/>
    <s v="Deceased"/>
  </r>
  <r>
    <s v="P1414"/>
    <s v="Patient_415"/>
    <n v="19"/>
    <s v="Male"/>
    <x v="4"/>
    <s v="Dr. Rao"/>
    <s v="Referral"/>
    <d v="2024-06-02T00:00:00"/>
    <d v="2024-12-08T00:00:00"/>
    <s v="Private"/>
    <n v="2"/>
    <n v="28185"/>
    <n v="20800"/>
    <n v="27051"/>
    <n v="143150"/>
    <s v="Cash"/>
    <s v="None"/>
    <s v="Under Treatment"/>
  </r>
  <r>
    <s v="P1415"/>
    <s v="Patient_416"/>
    <n v="58"/>
    <s v="Male"/>
    <x v="0"/>
    <s v="Dr. Patel"/>
    <s v="Emergency"/>
    <d v="2024-10-19T00:00:00"/>
    <d v="2024-07-13T00:00:00"/>
    <s v="General"/>
    <n v="9"/>
    <n v="179514"/>
    <n v="27910"/>
    <n v="2157"/>
    <n v="217461"/>
    <s v="Cash"/>
    <s v="None"/>
    <s v="Under Treatment"/>
  </r>
  <r>
    <s v="P1416"/>
    <s v="Patient_417"/>
    <n v="55"/>
    <s v="Male"/>
    <x v="2"/>
    <s v="Dr. Mehta"/>
    <s v="OPD"/>
    <d v="2024-08-17T00:00:00"/>
    <d v="2024-06-11T00:00:00"/>
    <s v="General"/>
    <n v="17"/>
    <n v="187831"/>
    <n v="30437"/>
    <n v="19425"/>
    <n v="58519"/>
    <s v="Cash"/>
    <s v="New India Assurance"/>
    <s v="Recovered"/>
  </r>
  <r>
    <s v="P1417"/>
    <s v="Patient_418"/>
    <n v="62"/>
    <s v="Female"/>
    <x v="2"/>
    <s v="Dr. Sharma"/>
    <s v="Referral"/>
    <d v="2024-11-05T00:00:00"/>
    <d v="2024-12-13T00:00:00"/>
    <s v="ICU"/>
    <n v="11"/>
    <n v="46153"/>
    <n v="38588"/>
    <n v="7263"/>
    <n v="12042"/>
    <s v="Cash"/>
    <s v="HDFC Ergo"/>
    <s v="Referred"/>
  </r>
  <r>
    <s v="P1418"/>
    <s v="Patient_419"/>
    <n v="23"/>
    <s v="Male"/>
    <x v="3"/>
    <s v="Dr. Sharma"/>
    <s v="Referral"/>
    <d v="2024-12-24T00:00:00"/>
    <d v="2024-12-27T00:00:00"/>
    <s v="ICU"/>
    <n v="10"/>
    <n v="82535"/>
    <n v="12001"/>
    <n v="19959"/>
    <n v="57052"/>
    <s v="UPI"/>
    <s v="None"/>
    <s v="Referred"/>
  </r>
  <r>
    <s v="P1419"/>
    <s v="Patient_420"/>
    <n v="9"/>
    <s v="Male"/>
    <x v="3"/>
    <s v="Dr. Singh"/>
    <s v="OPD"/>
    <d v="2024-07-20T00:00:00"/>
    <d v="2024-09-14T00:00:00"/>
    <s v="General"/>
    <n v="17"/>
    <n v="138653"/>
    <n v="47675"/>
    <n v="3664"/>
    <n v="22389"/>
    <s v="Card"/>
    <s v="ICICI Lombard"/>
    <s v="Under Treatment"/>
  </r>
  <r>
    <s v="P1420"/>
    <s v="Patient_421"/>
    <n v="12"/>
    <s v="Female"/>
    <x v="1"/>
    <s v="Dr. Rao"/>
    <s v="Emergency"/>
    <d v="2024-02-07T00:00:00"/>
    <d v="2024-03-13T00:00:00"/>
    <s v="ICU"/>
    <n v="4"/>
    <n v="56717"/>
    <n v="20942"/>
    <n v="28042"/>
    <n v="103961"/>
    <s v="Card"/>
    <s v="New India Assurance"/>
    <s v="Recovered"/>
  </r>
  <r>
    <s v="P1421"/>
    <s v="Patient_422"/>
    <n v="1"/>
    <s v="Female"/>
    <x v="1"/>
    <s v="Dr. Singh"/>
    <s v="OPD"/>
    <d v="2024-09-16T00:00:00"/>
    <d v="2024-03-28T00:00:00"/>
    <s v="ICU"/>
    <n v="16"/>
    <n v="7763"/>
    <n v="21862"/>
    <n v="18937"/>
    <n v="76111"/>
    <s v="Insurance"/>
    <s v="Star Health"/>
    <s v="Deceased"/>
  </r>
  <r>
    <s v="P1422"/>
    <s v="Patient_423"/>
    <n v="58"/>
    <s v="Female"/>
    <x v="5"/>
    <s v="Dr. Mehta"/>
    <s v="Referral"/>
    <d v="2024-07-06T00:00:00"/>
    <d v="2024-09-19T00:00:00"/>
    <s v="General"/>
    <n v="15"/>
    <n v="97910"/>
    <n v="12669"/>
    <n v="8979"/>
    <n v="113058"/>
    <s v="Card"/>
    <s v="New India Assurance"/>
    <s v="Deceased"/>
  </r>
  <r>
    <s v="P1423"/>
    <s v="Patient_424"/>
    <n v="1"/>
    <s v="Female"/>
    <x v="4"/>
    <s v="Dr. Singh"/>
    <s v="OPD"/>
    <d v="2024-02-26T00:00:00"/>
    <d v="2024-08-02T00:00:00"/>
    <s v="Private"/>
    <n v="5"/>
    <n v="60480"/>
    <n v="16916"/>
    <n v="6237"/>
    <n v="101715"/>
    <s v="Card"/>
    <s v="ICICI Lombard"/>
    <s v="Under Treatment"/>
  </r>
  <r>
    <s v="P1424"/>
    <s v="Patient_425"/>
    <n v="34"/>
    <s v="Female"/>
    <x v="3"/>
    <s v="Dr. Iyer"/>
    <s v="Emergency"/>
    <d v="2024-01-20T00:00:00"/>
    <d v="2024-06-02T00:00:00"/>
    <s v="General"/>
    <n v="6"/>
    <n v="174831"/>
    <n v="11878"/>
    <n v="20101"/>
    <n v="58733"/>
    <s v="Card"/>
    <s v="HDFC Ergo"/>
    <s v="Referred"/>
  </r>
  <r>
    <s v="P1425"/>
    <s v="Patient_426"/>
    <n v="48"/>
    <s v="Female"/>
    <x v="2"/>
    <s v="Dr. Sharma"/>
    <s v="Referral"/>
    <d v="2024-09-29T00:00:00"/>
    <d v="2024-07-29T00:00:00"/>
    <s v="ICU"/>
    <n v="17"/>
    <n v="123094"/>
    <n v="3985"/>
    <n v="28930"/>
    <n v="42754"/>
    <s v="Insurance"/>
    <s v="Star Health"/>
    <s v="Recovered"/>
  </r>
  <r>
    <s v="P1426"/>
    <s v="Patient_427"/>
    <n v="89"/>
    <s v="Female"/>
    <x v="0"/>
    <s v="Dr. Sharma"/>
    <s v="OPD"/>
    <d v="2024-04-28T00:00:00"/>
    <d v="2024-03-02T00:00:00"/>
    <s v="Private"/>
    <n v="1"/>
    <n v="161379"/>
    <n v="33369"/>
    <n v="18331"/>
    <n v="157696"/>
    <s v="Cash"/>
    <s v="Star Health"/>
    <s v="Referred"/>
  </r>
  <r>
    <s v="P1427"/>
    <s v="Patient_428"/>
    <n v="1"/>
    <s v="Male"/>
    <x v="2"/>
    <s v="Dr. Patel"/>
    <s v="Emergency"/>
    <d v="2024-03-11T00:00:00"/>
    <d v="2024-09-25T00:00:00"/>
    <s v="Semi-Private"/>
    <n v="19"/>
    <n v="16064"/>
    <n v="9112"/>
    <n v="6509"/>
    <n v="93886"/>
    <s v="Card"/>
    <s v="HDFC Ergo"/>
    <s v="Deceased"/>
  </r>
  <r>
    <s v="P1428"/>
    <s v="Patient_429"/>
    <n v="16"/>
    <s v="Male"/>
    <x v="4"/>
    <s v="Dr. Patel"/>
    <s v="Referral"/>
    <d v="2024-01-04T00:00:00"/>
    <d v="2024-09-19T00:00:00"/>
    <s v="Private"/>
    <n v="4"/>
    <n v="81848"/>
    <n v="42235"/>
    <n v="17491"/>
    <n v="165753"/>
    <s v="Insurance"/>
    <s v="New India Assurance"/>
    <s v="Referred"/>
  </r>
  <r>
    <s v="P1429"/>
    <s v="Patient_430"/>
    <n v="61"/>
    <s v="Female"/>
    <x v="1"/>
    <s v="Dr. Mehta"/>
    <s v="Emergency"/>
    <d v="2024-08-08T00:00:00"/>
    <d v="2024-08-06T00:00:00"/>
    <s v="ICU"/>
    <n v="17"/>
    <n v="42548"/>
    <n v="19931"/>
    <n v="5052"/>
    <n v="97524"/>
    <s v="Insurance"/>
    <s v="None"/>
    <s v="Deceased"/>
  </r>
  <r>
    <s v="P1430"/>
    <s v="Patient_431"/>
    <n v="64"/>
    <s v="Male"/>
    <x v="2"/>
    <s v="Dr. Iyer"/>
    <s v="Referral"/>
    <d v="2024-01-14T00:00:00"/>
    <d v="2024-10-10T00:00:00"/>
    <s v="Private"/>
    <n v="9"/>
    <n v="173017"/>
    <n v="28340"/>
    <n v="18648"/>
    <n v="89006"/>
    <s v="UPI"/>
    <s v="New India Assurance"/>
    <s v="Recovered"/>
  </r>
  <r>
    <s v="P1431"/>
    <s v="Patient_432"/>
    <n v="63"/>
    <s v="Male"/>
    <x v="5"/>
    <s v="Dr. Rao"/>
    <s v="OPD"/>
    <d v="2024-01-03T00:00:00"/>
    <d v="2024-05-16T00:00:00"/>
    <s v="General"/>
    <n v="2"/>
    <n v="184009"/>
    <n v="1336"/>
    <n v="9917"/>
    <n v="32704"/>
    <s v="Insurance"/>
    <s v="ICICI Lombard"/>
    <s v="Recovered"/>
  </r>
  <r>
    <s v="P1432"/>
    <s v="Patient_433"/>
    <n v="69"/>
    <s v="Male"/>
    <x v="4"/>
    <s v="Dr. Singh"/>
    <s v="Emergency"/>
    <d v="2024-08-03T00:00:00"/>
    <d v="2024-12-28T00:00:00"/>
    <s v="Semi-Private"/>
    <n v="8"/>
    <n v="11476"/>
    <n v="43933"/>
    <n v="26311"/>
    <n v="243344"/>
    <s v="Cash"/>
    <s v="None"/>
    <s v="Under Treatment"/>
  </r>
  <r>
    <s v="P1433"/>
    <s v="Patient_434"/>
    <n v="22"/>
    <s v="Female"/>
    <x v="1"/>
    <s v="Dr. Mehta"/>
    <s v="Referral"/>
    <d v="2024-08-16T00:00:00"/>
    <d v="2024-04-03T00:00:00"/>
    <s v="Semi-Private"/>
    <n v="15"/>
    <n v="187828"/>
    <n v="20363"/>
    <n v="9721"/>
    <n v="102913"/>
    <s v="Card"/>
    <s v="New India Assurance"/>
    <s v="Under Treatment"/>
  </r>
  <r>
    <s v="P1434"/>
    <s v="Patient_435"/>
    <n v="67"/>
    <s v="Female"/>
    <x v="0"/>
    <s v="Dr. Patel"/>
    <s v="Emergency"/>
    <d v="2024-12-01T00:00:00"/>
    <d v="2024-04-19T00:00:00"/>
    <s v="Semi-Private"/>
    <n v="7"/>
    <n v="95101"/>
    <n v="46536"/>
    <n v="3171"/>
    <n v="102108"/>
    <s v="Insurance"/>
    <s v="HDFC Ergo"/>
    <s v="Referred"/>
  </r>
  <r>
    <s v="P1435"/>
    <s v="Patient_436"/>
    <n v="76"/>
    <s v="Male"/>
    <x v="1"/>
    <s v="Dr. Singh"/>
    <s v="Emergency"/>
    <d v="2024-07-04T00:00:00"/>
    <d v="2024-08-29T00:00:00"/>
    <s v="ICU"/>
    <n v="6"/>
    <n v="7382"/>
    <n v="4968"/>
    <n v="7019"/>
    <n v="15493"/>
    <s v="Cash"/>
    <s v="ICICI Lombard"/>
    <s v="Recovered"/>
  </r>
  <r>
    <s v="P1436"/>
    <s v="Patient_437"/>
    <n v="26"/>
    <s v="Female"/>
    <x v="5"/>
    <s v="Dr. Patel"/>
    <s v="OPD"/>
    <d v="2024-02-24T00:00:00"/>
    <d v="2024-12-21T00:00:00"/>
    <s v="ICU"/>
    <n v="1"/>
    <n v="185755"/>
    <n v="34678"/>
    <n v="4462"/>
    <n v="77639"/>
    <s v="Insurance"/>
    <s v="ICICI Lombard"/>
    <s v="Recovered"/>
  </r>
  <r>
    <s v="P1437"/>
    <s v="Patient_438"/>
    <n v="16"/>
    <s v="Male"/>
    <x v="4"/>
    <s v="Dr. Singh"/>
    <s v="Emergency"/>
    <d v="2024-09-10T00:00:00"/>
    <d v="2024-05-22T00:00:00"/>
    <s v="Semi-Private"/>
    <n v="15"/>
    <n v="181348"/>
    <n v="49400"/>
    <n v="13234"/>
    <n v="239452"/>
    <s v="Insurance"/>
    <s v="ICICI Lombard"/>
    <s v="Under Treatment"/>
  </r>
  <r>
    <s v="P1438"/>
    <s v="Patient_439"/>
    <n v="51"/>
    <s v="Male"/>
    <x v="0"/>
    <s v="Dr. Rao"/>
    <s v="Referral"/>
    <d v="2024-01-24T00:00:00"/>
    <d v="2024-10-18T00:00:00"/>
    <s v="Private"/>
    <n v="7"/>
    <n v="169474"/>
    <n v="17279"/>
    <n v="13622"/>
    <n v="62383"/>
    <s v="Insurance"/>
    <s v="None"/>
    <s v="Deceased"/>
  </r>
  <r>
    <s v="P1439"/>
    <s v="Patient_440"/>
    <n v="86"/>
    <s v="Male"/>
    <x v="5"/>
    <s v="Dr. Mehta"/>
    <s v="Referral"/>
    <d v="2024-06-10T00:00:00"/>
    <d v="2024-08-25T00:00:00"/>
    <s v="Semi-Private"/>
    <n v="17"/>
    <n v="163018"/>
    <n v="4129"/>
    <n v="20061"/>
    <n v="142066"/>
    <s v="Insurance"/>
    <s v="Star Health"/>
    <s v="Referred"/>
  </r>
  <r>
    <s v="P1440"/>
    <s v="Patient_441"/>
    <n v="57"/>
    <s v="Male"/>
    <x v="1"/>
    <s v="Dr. Singh"/>
    <s v="Referral"/>
    <d v="2024-06-06T00:00:00"/>
    <d v="2024-12-06T00:00:00"/>
    <s v="Private"/>
    <n v="2"/>
    <n v="84698"/>
    <n v="39215"/>
    <n v="4222"/>
    <n v="208352"/>
    <s v="Insurance"/>
    <s v="None"/>
    <s v="Referred"/>
  </r>
  <r>
    <s v="P1441"/>
    <s v="Patient_442"/>
    <n v="29"/>
    <s v="Female"/>
    <x v="5"/>
    <s v="Dr. Iyer"/>
    <s v="Referral"/>
    <d v="2024-03-22T00:00:00"/>
    <d v="2024-11-08T00:00:00"/>
    <s v="Private"/>
    <n v="9"/>
    <n v="158407"/>
    <n v="39897"/>
    <n v="5406"/>
    <n v="55234"/>
    <s v="Cash"/>
    <s v="New India Assurance"/>
    <s v="Under Treatment"/>
  </r>
  <r>
    <s v="P1442"/>
    <s v="Patient_443"/>
    <n v="78"/>
    <s v="Female"/>
    <x v="4"/>
    <s v="Dr. Sharma"/>
    <s v="OPD"/>
    <d v="2024-06-07T00:00:00"/>
    <d v="2024-06-26T00:00:00"/>
    <s v="ICU"/>
    <n v="9"/>
    <n v="50095"/>
    <n v="6850"/>
    <n v="7763"/>
    <n v="186363"/>
    <s v="Card"/>
    <s v="Star Health"/>
    <s v="Recovered"/>
  </r>
  <r>
    <s v="P1443"/>
    <s v="Patient_444"/>
    <n v="69"/>
    <s v="Female"/>
    <x v="3"/>
    <s v="Dr. Iyer"/>
    <s v="Emergency"/>
    <d v="2024-07-06T00:00:00"/>
    <d v="2024-05-21T00:00:00"/>
    <s v="Private"/>
    <n v="13"/>
    <n v="134974"/>
    <n v="21588"/>
    <n v="14199"/>
    <n v="136674"/>
    <s v="Card"/>
    <s v="New India Assurance"/>
    <s v="Under Treatment"/>
  </r>
  <r>
    <s v="P1444"/>
    <s v="Patient_445"/>
    <n v="47"/>
    <s v="Male"/>
    <x v="5"/>
    <s v="Dr. Iyer"/>
    <s v="OPD"/>
    <d v="2024-02-29T00:00:00"/>
    <d v="2024-07-08T00:00:00"/>
    <s v="Semi-Private"/>
    <n v="6"/>
    <n v="32197"/>
    <n v="41214"/>
    <n v="21938"/>
    <n v="231940"/>
    <s v="Card"/>
    <s v="Star Health"/>
    <s v="Under Treatment"/>
  </r>
  <r>
    <s v="P1445"/>
    <s v="Patient_446"/>
    <n v="62"/>
    <s v="Female"/>
    <x v="5"/>
    <s v="Dr. Sharma"/>
    <s v="Emergency"/>
    <d v="2024-10-31T00:00:00"/>
    <d v="2024-02-19T00:00:00"/>
    <s v="ICU"/>
    <n v="6"/>
    <n v="132619"/>
    <n v="12949"/>
    <n v="26551"/>
    <n v="13594"/>
    <s v="Card"/>
    <s v="None"/>
    <s v="Under Treatment"/>
  </r>
  <r>
    <s v="P1446"/>
    <s v="Patient_447"/>
    <n v="69"/>
    <s v="Male"/>
    <x v="1"/>
    <s v="Dr. Iyer"/>
    <s v="Emergency"/>
    <d v="2024-11-14T00:00:00"/>
    <d v="2024-10-29T00:00:00"/>
    <s v="General"/>
    <n v="3"/>
    <n v="27010"/>
    <n v="9519"/>
    <n v="11588"/>
    <n v="244907"/>
    <s v="Cash"/>
    <s v="ICICI Lombard"/>
    <s v="Under Treatment"/>
  </r>
  <r>
    <s v="P1447"/>
    <s v="Patient_448"/>
    <n v="76"/>
    <s v="Female"/>
    <x v="1"/>
    <s v="Dr. Singh"/>
    <s v="Emergency"/>
    <d v="2024-07-29T00:00:00"/>
    <d v="2025-01-04T00:00:00"/>
    <s v="General"/>
    <n v="17"/>
    <n v="160195"/>
    <n v="27375"/>
    <n v="1308"/>
    <n v="15371"/>
    <s v="UPI"/>
    <s v="HDFC Ergo"/>
    <s v="Deceased"/>
  </r>
  <r>
    <s v="P1448"/>
    <s v="Patient_449"/>
    <n v="16"/>
    <s v="Male"/>
    <x v="0"/>
    <s v="Dr. Singh"/>
    <s v="OPD"/>
    <d v="2024-05-31T00:00:00"/>
    <d v="2024-07-09T00:00:00"/>
    <s v="ICU"/>
    <n v="17"/>
    <n v="92923"/>
    <n v="34082"/>
    <n v="9670"/>
    <n v="55315"/>
    <s v="UPI"/>
    <s v="ICICI Lombard"/>
    <s v="Deceased"/>
  </r>
  <r>
    <s v="P1449"/>
    <s v="Patient_450"/>
    <n v="48"/>
    <s v="Male"/>
    <x v="1"/>
    <s v="Dr. Singh"/>
    <s v="Emergency"/>
    <d v="2024-04-18T00:00:00"/>
    <d v="2024-05-16T00:00:00"/>
    <s v="Semi-Private"/>
    <n v="12"/>
    <n v="138962"/>
    <n v="12737"/>
    <n v="16760"/>
    <n v="222636"/>
    <s v="Cash"/>
    <s v="None"/>
    <s v="Recovered"/>
  </r>
  <r>
    <s v="P1450"/>
    <s v="Patient_451"/>
    <n v="85"/>
    <s v="Male"/>
    <x v="2"/>
    <s v="Dr. Sharma"/>
    <s v="OPD"/>
    <d v="2024-03-16T00:00:00"/>
    <d v="2024-02-13T00:00:00"/>
    <s v="General"/>
    <n v="16"/>
    <n v="135526"/>
    <n v="2134"/>
    <n v="27539"/>
    <n v="135251"/>
    <s v="Cash"/>
    <s v="Star Health"/>
    <s v="Under Treatment"/>
  </r>
  <r>
    <s v="P1451"/>
    <s v="Patient_452"/>
    <n v="39"/>
    <s v="Female"/>
    <x v="4"/>
    <s v="Dr. Iyer"/>
    <s v="Referral"/>
    <d v="2024-01-30T00:00:00"/>
    <d v="2024-12-19T00:00:00"/>
    <s v="General"/>
    <n v="15"/>
    <n v="114162"/>
    <n v="11938"/>
    <n v="17609"/>
    <n v="240520"/>
    <s v="Insurance"/>
    <s v="ICICI Lombard"/>
    <s v="Deceased"/>
  </r>
  <r>
    <s v="P1452"/>
    <s v="Patient_453"/>
    <n v="33"/>
    <s v="Female"/>
    <x v="4"/>
    <s v="Dr. Sharma"/>
    <s v="Referral"/>
    <d v="2024-11-09T00:00:00"/>
    <d v="2024-03-31T00:00:00"/>
    <s v="Private"/>
    <n v="13"/>
    <n v="125927"/>
    <n v="25486"/>
    <n v="11193"/>
    <n v="87526"/>
    <s v="Insurance"/>
    <s v="None"/>
    <s v="Recovered"/>
  </r>
  <r>
    <s v="P1453"/>
    <s v="Patient_454"/>
    <n v="23"/>
    <s v="Female"/>
    <x v="3"/>
    <s v="Dr. Singh"/>
    <s v="Emergency"/>
    <d v="2024-04-26T00:00:00"/>
    <d v="2024-10-22T00:00:00"/>
    <s v="Private"/>
    <n v="1"/>
    <n v="13026"/>
    <n v="49356"/>
    <n v="28438"/>
    <n v="155698"/>
    <s v="Insurance"/>
    <s v="New India Assurance"/>
    <s v="Under Treatment"/>
  </r>
  <r>
    <s v="P1454"/>
    <s v="Patient_455"/>
    <n v="10"/>
    <s v="Female"/>
    <x v="3"/>
    <s v="Dr. Iyer"/>
    <s v="OPD"/>
    <d v="2024-12-21T00:00:00"/>
    <d v="2024-12-07T00:00:00"/>
    <s v="Semi-Private"/>
    <n v="17"/>
    <n v="69925"/>
    <n v="27096"/>
    <n v="8201"/>
    <n v="94005"/>
    <s v="Card"/>
    <s v="HDFC Ergo"/>
    <s v="Referred"/>
  </r>
  <r>
    <s v="P1455"/>
    <s v="Patient_456"/>
    <n v="69"/>
    <s v="Male"/>
    <x v="4"/>
    <s v="Dr. Iyer"/>
    <s v="Referral"/>
    <d v="2024-07-10T00:00:00"/>
    <d v="2024-09-02T00:00:00"/>
    <s v="ICU"/>
    <n v="3"/>
    <n v="73842"/>
    <n v="42115"/>
    <n v="18100"/>
    <n v="245330"/>
    <s v="Insurance"/>
    <s v="ICICI Lombard"/>
    <s v="Deceased"/>
  </r>
  <r>
    <s v="P1456"/>
    <s v="Patient_457"/>
    <n v="34"/>
    <s v="Female"/>
    <x v="3"/>
    <s v="Dr. Patel"/>
    <s v="OPD"/>
    <d v="2024-01-19T00:00:00"/>
    <d v="2024-07-11T00:00:00"/>
    <s v="Semi-Private"/>
    <n v="15"/>
    <n v="38665"/>
    <n v="6592"/>
    <n v="20935"/>
    <n v="113573"/>
    <s v="UPI"/>
    <s v="Star Health"/>
    <s v="Recovered"/>
  </r>
  <r>
    <s v="P1457"/>
    <s v="Patient_458"/>
    <n v="52"/>
    <s v="Female"/>
    <x v="0"/>
    <s v="Dr. Patel"/>
    <s v="OPD"/>
    <d v="2024-06-21T00:00:00"/>
    <d v="2024-11-14T00:00:00"/>
    <s v="ICU"/>
    <n v="4"/>
    <n v="14277"/>
    <n v="19108"/>
    <n v="19081"/>
    <n v="146202"/>
    <s v="Card"/>
    <s v="New India Assurance"/>
    <s v="Referred"/>
  </r>
  <r>
    <s v="P1458"/>
    <s v="Patient_459"/>
    <n v="10"/>
    <s v="Male"/>
    <x v="1"/>
    <s v="Dr. Rao"/>
    <s v="Emergency"/>
    <d v="2024-08-15T00:00:00"/>
    <d v="2024-04-16T00:00:00"/>
    <s v="General"/>
    <n v="4"/>
    <n v="178311"/>
    <n v="18270"/>
    <n v="14691"/>
    <n v="145900"/>
    <s v="Insurance"/>
    <s v="None"/>
    <s v="Under Treatment"/>
  </r>
  <r>
    <s v="P1459"/>
    <s v="Patient_460"/>
    <n v="19"/>
    <s v="Male"/>
    <x v="4"/>
    <s v="Dr. Mehta"/>
    <s v="Referral"/>
    <d v="2024-12-15T00:00:00"/>
    <d v="2024-12-29T00:00:00"/>
    <s v="Private"/>
    <n v="18"/>
    <n v="183736"/>
    <n v="28649"/>
    <n v="19690"/>
    <n v="65514"/>
    <s v="Card"/>
    <s v="HDFC Ergo"/>
    <s v="Under Treatment"/>
  </r>
  <r>
    <s v="P1460"/>
    <s v="Patient_461"/>
    <n v="58"/>
    <s v="Male"/>
    <x v="3"/>
    <s v="Dr. Patel"/>
    <s v="Emergency"/>
    <d v="2024-07-01T00:00:00"/>
    <d v="2024-11-06T00:00:00"/>
    <s v="Semi-Private"/>
    <n v="17"/>
    <n v="53008"/>
    <n v="11997"/>
    <n v="25854"/>
    <n v="246220"/>
    <s v="UPI"/>
    <s v="Star Health"/>
    <s v="Under Treatment"/>
  </r>
  <r>
    <s v="P1461"/>
    <s v="Patient_462"/>
    <n v="1"/>
    <s v="Female"/>
    <x v="4"/>
    <s v="Dr. Sharma"/>
    <s v="Emergency"/>
    <d v="2024-04-22T00:00:00"/>
    <d v="2024-08-21T00:00:00"/>
    <s v="Semi-Private"/>
    <n v="19"/>
    <n v="19683"/>
    <n v="34489"/>
    <n v="17856"/>
    <n v="243707"/>
    <s v="Insurance"/>
    <s v="None"/>
    <s v="Deceased"/>
  </r>
  <r>
    <s v="P1462"/>
    <s v="Patient_463"/>
    <n v="69"/>
    <s v="Male"/>
    <x v="2"/>
    <s v="Dr. Patel"/>
    <s v="Referral"/>
    <d v="2024-07-01T00:00:00"/>
    <d v="2024-09-22T00:00:00"/>
    <s v="ICU"/>
    <n v="11"/>
    <n v="136742"/>
    <n v="10104"/>
    <n v="27886"/>
    <n v="191736"/>
    <s v="UPI"/>
    <s v="None"/>
    <s v="Recovered"/>
  </r>
  <r>
    <s v="P1463"/>
    <s v="Patient_464"/>
    <n v="4"/>
    <s v="Male"/>
    <x v="5"/>
    <s v="Dr. Rao"/>
    <s v="Referral"/>
    <d v="2024-05-25T00:00:00"/>
    <d v="2024-12-10T00:00:00"/>
    <s v="ICU"/>
    <n v="3"/>
    <n v="153961"/>
    <n v="1870"/>
    <n v="22518"/>
    <n v="156955"/>
    <s v="UPI"/>
    <s v="ICICI Lombard"/>
    <s v="Referred"/>
  </r>
  <r>
    <s v="P1464"/>
    <s v="Patient_465"/>
    <n v="16"/>
    <s v="Male"/>
    <x v="1"/>
    <s v="Dr. Iyer"/>
    <s v="OPD"/>
    <d v="2024-11-14T00:00:00"/>
    <d v="2024-02-07T00:00:00"/>
    <s v="Semi-Private"/>
    <n v="8"/>
    <n v="191684"/>
    <n v="29684"/>
    <n v="14204"/>
    <n v="182131"/>
    <s v="UPI"/>
    <s v="ICICI Lombard"/>
    <s v="Recovered"/>
  </r>
  <r>
    <s v="P1465"/>
    <s v="Patient_466"/>
    <n v="24"/>
    <s v="Female"/>
    <x v="4"/>
    <s v="Dr. Rao"/>
    <s v="Referral"/>
    <d v="2024-04-25T00:00:00"/>
    <d v="2024-11-01T00:00:00"/>
    <s v="ICU"/>
    <n v="14"/>
    <n v="180607"/>
    <n v="40519"/>
    <n v="24367"/>
    <n v="223150"/>
    <s v="Insurance"/>
    <s v="Star Health"/>
    <s v="Deceased"/>
  </r>
  <r>
    <s v="P1466"/>
    <s v="Patient_467"/>
    <n v="80"/>
    <s v="Male"/>
    <x v="5"/>
    <s v="Dr. Iyer"/>
    <s v="OPD"/>
    <d v="2024-04-22T00:00:00"/>
    <d v="2024-02-11T00:00:00"/>
    <s v="Semi-Private"/>
    <n v="1"/>
    <n v="83542"/>
    <n v="35524"/>
    <n v="2623"/>
    <n v="182004"/>
    <s v="Cash"/>
    <s v="None"/>
    <s v="Recovered"/>
  </r>
  <r>
    <s v="P1467"/>
    <s v="Patient_468"/>
    <n v="2"/>
    <s v="Female"/>
    <x v="3"/>
    <s v="Dr. Iyer"/>
    <s v="OPD"/>
    <d v="2024-09-07T00:00:00"/>
    <d v="2024-01-18T00:00:00"/>
    <s v="Semi-Private"/>
    <n v="14"/>
    <n v="59319"/>
    <n v="31957"/>
    <n v="25674"/>
    <n v="200341"/>
    <s v="Insurance"/>
    <s v="ICICI Lombard"/>
    <s v="Deceased"/>
  </r>
  <r>
    <s v="P1468"/>
    <s v="Patient_469"/>
    <n v="32"/>
    <s v="Female"/>
    <x v="5"/>
    <s v="Dr. Mehta"/>
    <s v="OPD"/>
    <d v="2024-09-07T00:00:00"/>
    <d v="2024-12-10T00:00:00"/>
    <s v="Semi-Private"/>
    <n v="2"/>
    <n v="97067"/>
    <n v="34885"/>
    <n v="12033"/>
    <n v="83986"/>
    <s v="UPI"/>
    <s v="HDFC Ergo"/>
    <s v="Under Treatment"/>
  </r>
  <r>
    <s v="P1469"/>
    <s v="Patient_470"/>
    <n v="84"/>
    <s v="Male"/>
    <x v="1"/>
    <s v="Dr. Patel"/>
    <s v="Referral"/>
    <d v="2024-10-29T00:00:00"/>
    <d v="2024-10-04T00:00:00"/>
    <s v="General"/>
    <n v="4"/>
    <n v="157711"/>
    <n v="45369"/>
    <n v="17108"/>
    <n v="93959"/>
    <s v="Insurance"/>
    <s v="HDFC Ergo"/>
    <s v="Referred"/>
  </r>
  <r>
    <s v="P1470"/>
    <s v="Patient_471"/>
    <n v="24"/>
    <s v="Male"/>
    <x v="4"/>
    <s v="Dr. Sharma"/>
    <s v="Emergency"/>
    <d v="2024-11-08T00:00:00"/>
    <d v="2024-11-03T00:00:00"/>
    <s v="ICU"/>
    <n v="19"/>
    <n v="152705"/>
    <n v="36596"/>
    <n v="14948"/>
    <n v="10035"/>
    <s v="UPI"/>
    <s v="None"/>
    <s v="Under Treatment"/>
  </r>
  <r>
    <s v="P1471"/>
    <s v="Patient_472"/>
    <n v="12"/>
    <s v="Female"/>
    <x v="2"/>
    <s v="Dr. Sharma"/>
    <s v="OPD"/>
    <d v="2024-04-27T00:00:00"/>
    <d v="2024-02-29T00:00:00"/>
    <s v="Private"/>
    <n v="6"/>
    <n v="170732"/>
    <n v="30866"/>
    <n v="15086"/>
    <n v="117767"/>
    <s v="Cash"/>
    <s v="ICICI Lombard"/>
    <s v="Recovered"/>
  </r>
  <r>
    <s v="P1472"/>
    <s v="Patient_473"/>
    <n v="50"/>
    <s v="Male"/>
    <x v="3"/>
    <s v="Dr. Singh"/>
    <s v="Emergency"/>
    <d v="2024-10-27T00:00:00"/>
    <d v="2024-07-02T00:00:00"/>
    <s v="Private"/>
    <n v="1"/>
    <n v="73975"/>
    <n v="31676"/>
    <n v="25916"/>
    <n v="179817"/>
    <s v="Card"/>
    <s v="Star Health"/>
    <s v="Under Treatment"/>
  </r>
  <r>
    <s v="P1473"/>
    <s v="Patient_474"/>
    <n v="35"/>
    <s v="Male"/>
    <x v="4"/>
    <s v="Dr. Iyer"/>
    <s v="Emergency"/>
    <d v="2024-06-09T00:00:00"/>
    <d v="2024-02-11T00:00:00"/>
    <s v="ICU"/>
    <n v="17"/>
    <n v="168244"/>
    <n v="48764"/>
    <n v="2314"/>
    <n v="25241"/>
    <s v="Cash"/>
    <s v="Star Health"/>
    <s v="Referred"/>
  </r>
  <r>
    <s v="P1474"/>
    <s v="Patient_475"/>
    <n v="33"/>
    <s v="Female"/>
    <x v="1"/>
    <s v="Dr. Sharma"/>
    <s v="Referral"/>
    <d v="2024-07-16T00:00:00"/>
    <d v="2024-02-09T00:00:00"/>
    <s v="Semi-Private"/>
    <n v="8"/>
    <n v="195269"/>
    <n v="14878"/>
    <n v="13501"/>
    <n v="60975"/>
    <s v="Cash"/>
    <s v="Star Health"/>
    <s v="Under Treatment"/>
  </r>
  <r>
    <s v="P1475"/>
    <s v="Patient_476"/>
    <n v="33"/>
    <s v="Female"/>
    <x v="3"/>
    <s v="Dr. Mehta"/>
    <s v="Emergency"/>
    <d v="2024-09-16T00:00:00"/>
    <d v="2024-07-11T00:00:00"/>
    <s v="Private"/>
    <n v="19"/>
    <n v="106158"/>
    <n v="40760"/>
    <n v="17990"/>
    <n v="162226"/>
    <s v="Card"/>
    <s v="HDFC Ergo"/>
    <s v="Referred"/>
  </r>
  <r>
    <s v="P1476"/>
    <s v="Patient_477"/>
    <n v="61"/>
    <s v="Male"/>
    <x v="0"/>
    <s v="Dr. Iyer"/>
    <s v="Emergency"/>
    <d v="2024-05-27T00:00:00"/>
    <d v="2024-09-24T00:00:00"/>
    <s v="Private"/>
    <n v="1"/>
    <n v="194919"/>
    <n v="28559"/>
    <n v="17008"/>
    <n v="164697"/>
    <s v="Insurance"/>
    <s v="ICICI Lombard"/>
    <s v="Referred"/>
  </r>
  <r>
    <s v="P1477"/>
    <s v="Patient_478"/>
    <n v="51"/>
    <s v="Female"/>
    <x v="5"/>
    <s v="Dr. Mehta"/>
    <s v="Referral"/>
    <d v="2024-08-27T00:00:00"/>
    <d v="2024-05-27T00:00:00"/>
    <s v="ICU"/>
    <n v="5"/>
    <n v="16577"/>
    <n v="47546"/>
    <n v="20130"/>
    <n v="184022"/>
    <s v="Card"/>
    <s v="ICICI Lombard"/>
    <s v="Under Treatment"/>
  </r>
  <r>
    <s v="P1478"/>
    <s v="Patient_479"/>
    <n v="43"/>
    <s v="Male"/>
    <x v="1"/>
    <s v="Dr. Sharma"/>
    <s v="OPD"/>
    <d v="2024-02-16T00:00:00"/>
    <d v="2024-11-29T00:00:00"/>
    <s v="Private"/>
    <n v="16"/>
    <n v="82299"/>
    <n v="7771"/>
    <n v="13880"/>
    <n v="237674"/>
    <s v="Insurance"/>
    <s v="HDFC Ergo"/>
    <s v="Deceased"/>
  </r>
  <r>
    <s v="P1479"/>
    <s v="Patient_480"/>
    <n v="12"/>
    <s v="Male"/>
    <x v="0"/>
    <s v="Dr. Sharma"/>
    <s v="Emergency"/>
    <d v="2024-07-16T00:00:00"/>
    <d v="2024-05-07T00:00:00"/>
    <s v="Semi-Private"/>
    <n v="6"/>
    <n v="25176"/>
    <n v="17526"/>
    <n v="15906"/>
    <n v="64396"/>
    <s v="Insurance"/>
    <s v="Star Health"/>
    <s v="Recovered"/>
  </r>
  <r>
    <s v="P1480"/>
    <s v="Patient_481"/>
    <n v="67"/>
    <s v="Male"/>
    <x v="4"/>
    <s v="Dr. Singh"/>
    <s v="Referral"/>
    <d v="2024-02-16T00:00:00"/>
    <d v="2024-02-16T00:00:00"/>
    <s v="ICU"/>
    <n v="8"/>
    <n v="180458"/>
    <n v="30896"/>
    <n v="3431"/>
    <n v="238299"/>
    <s v="UPI"/>
    <s v="Star Health"/>
    <s v="Deceased"/>
  </r>
  <r>
    <s v="P1481"/>
    <s v="Patient_482"/>
    <n v="65"/>
    <s v="Female"/>
    <x v="2"/>
    <s v="Dr. Sharma"/>
    <s v="Emergency"/>
    <d v="2024-03-18T00:00:00"/>
    <d v="2024-02-15T00:00:00"/>
    <s v="Semi-Private"/>
    <n v="13"/>
    <n v="68972"/>
    <n v="32923"/>
    <n v="14067"/>
    <n v="126920"/>
    <s v="UPI"/>
    <s v="None"/>
    <s v="Deceased"/>
  </r>
  <r>
    <s v="P1482"/>
    <s v="Patient_483"/>
    <n v="33"/>
    <s v="Male"/>
    <x v="3"/>
    <s v="Dr. Iyer"/>
    <s v="Emergency"/>
    <d v="2024-05-03T00:00:00"/>
    <d v="2024-01-02T00:00:00"/>
    <s v="Private"/>
    <n v="16"/>
    <n v="125018"/>
    <n v="37203"/>
    <n v="14538"/>
    <n v="152403"/>
    <s v="Card"/>
    <s v="New India Assurance"/>
    <s v="Under Treatment"/>
  </r>
  <r>
    <s v="P1483"/>
    <s v="Patient_484"/>
    <n v="40"/>
    <s v="Male"/>
    <x v="5"/>
    <s v="Dr. Iyer"/>
    <s v="OPD"/>
    <d v="2024-03-15T00:00:00"/>
    <d v="2024-06-17T00:00:00"/>
    <s v="Private"/>
    <n v="3"/>
    <n v="177075"/>
    <n v="40390"/>
    <n v="12817"/>
    <n v="202999"/>
    <s v="Cash"/>
    <s v="ICICI Lombard"/>
    <s v="Recovered"/>
  </r>
  <r>
    <s v="P1484"/>
    <s v="Patient_485"/>
    <n v="74"/>
    <s v="Male"/>
    <x v="3"/>
    <s v="Dr. Iyer"/>
    <s v="Emergency"/>
    <d v="2024-12-24T00:00:00"/>
    <d v="2024-04-18T00:00:00"/>
    <s v="Semi-Private"/>
    <n v="19"/>
    <n v="24996"/>
    <n v="13852"/>
    <n v="3471"/>
    <n v="94226"/>
    <s v="Card"/>
    <s v="ICICI Lombard"/>
    <s v="Recovered"/>
  </r>
  <r>
    <s v="P1485"/>
    <s v="Patient_486"/>
    <n v="43"/>
    <s v="Female"/>
    <x v="4"/>
    <s v="Dr. Singh"/>
    <s v="Referral"/>
    <d v="2024-05-16T00:00:00"/>
    <d v="2024-01-20T00:00:00"/>
    <s v="General"/>
    <n v="12"/>
    <n v="105922"/>
    <n v="48574"/>
    <n v="2517"/>
    <n v="92719"/>
    <s v="Insurance"/>
    <s v="ICICI Lombard"/>
    <s v="Deceased"/>
  </r>
  <r>
    <s v="P1486"/>
    <s v="Patient_487"/>
    <n v="44"/>
    <s v="Female"/>
    <x v="3"/>
    <s v="Dr. Singh"/>
    <s v="Emergency"/>
    <d v="2024-03-30T00:00:00"/>
    <d v="2024-11-28T00:00:00"/>
    <s v="Private"/>
    <n v="16"/>
    <n v="91598"/>
    <n v="44391"/>
    <n v="24299"/>
    <n v="71014"/>
    <s v="UPI"/>
    <s v="New India Assurance"/>
    <s v="Under Treatment"/>
  </r>
  <r>
    <s v="P1487"/>
    <s v="Patient_488"/>
    <n v="29"/>
    <s v="Female"/>
    <x v="5"/>
    <s v="Dr. Sharma"/>
    <s v="OPD"/>
    <d v="2024-11-20T00:00:00"/>
    <d v="2024-03-13T00:00:00"/>
    <s v="General"/>
    <n v="11"/>
    <n v="40931"/>
    <n v="2848"/>
    <n v="2915"/>
    <n v="47346"/>
    <s v="Card"/>
    <s v="None"/>
    <s v="Recovered"/>
  </r>
  <r>
    <s v="P1488"/>
    <s v="Patient_489"/>
    <n v="13"/>
    <s v="Female"/>
    <x v="4"/>
    <s v="Dr. Rao"/>
    <s v="OPD"/>
    <d v="2024-03-01T00:00:00"/>
    <d v="2024-04-19T00:00:00"/>
    <s v="Private"/>
    <n v="10"/>
    <n v="129168"/>
    <n v="32027"/>
    <n v="29666"/>
    <n v="78411"/>
    <s v="Card"/>
    <s v="New India Assurance"/>
    <s v="Deceased"/>
  </r>
  <r>
    <s v="P1489"/>
    <s v="Patient_490"/>
    <n v="12"/>
    <s v="Female"/>
    <x v="3"/>
    <s v="Dr. Rao"/>
    <s v="Referral"/>
    <d v="2024-05-17T00:00:00"/>
    <d v="2024-09-25T00:00:00"/>
    <s v="General"/>
    <n v="4"/>
    <n v="171782"/>
    <n v="36464"/>
    <n v="19980"/>
    <n v="193550"/>
    <s v="UPI"/>
    <s v="Star Health"/>
    <s v="Recovered"/>
  </r>
  <r>
    <s v="P1490"/>
    <s v="Patient_491"/>
    <n v="46"/>
    <s v="Male"/>
    <x v="2"/>
    <s v="Dr. Singh"/>
    <s v="OPD"/>
    <d v="2024-02-19T00:00:00"/>
    <d v="2024-08-28T00:00:00"/>
    <s v="General"/>
    <n v="12"/>
    <n v="128099"/>
    <n v="35485"/>
    <n v="2109"/>
    <n v="151326"/>
    <s v="UPI"/>
    <s v="Star Health"/>
    <s v="Under Treatment"/>
  </r>
  <r>
    <s v="P1491"/>
    <s v="Patient_492"/>
    <n v="2"/>
    <s v="Female"/>
    <x v="1"/>
    <s v="Dr. Sharma"/>
    <s v="Emergency"/>
    <d v="2024-09-15T00:00:00"/>
    <d v="2024-10-28T00:00:00"/>
    <s v="General"/>
    <n v="2"/>
    <n v="39693"/>
    <n v="20456"/>
    <n v="1217"/>
    <n v="194806"/>
    <s v="UPI"/>
    <s v="ICICI Lombard"/>
    <s v="Under Treatment"/>
  </r>
  <r>
    <s v="P1492"/>
    <s v="Patient_493"/>
    <n v="35"/>
    <s v="Female"/>
    <x v="4"/>
    <s v="Dr. Rao"/>
    <s v="OPD"/>
    <d v="2024-04-16T00:00:00"/>
    <d v="2024-03-31T00:00:00"/>
    <s v="Semi-Private"/>
    <n v="19"/>
    <n v="171812"/>
    <n v="10259"/>
    <n v="20445"/>
    <n v="167693"/>
    <s v="Insurance"/>
    <s v="HDFC Ergo"/>
    <s v="Under Treatment"/>
  </r>
  <r>
    <s v="P1493"/>
    <s v="Patient_494"/>
    <n v="87"/>
    <s v="Female"/>
    <x v="1"/>
    <s v="Dr. Sharma"/>
    <s v="Referral"/>
    <d v="2024-04-22T00:00:00"/>
    <d v="2024-04-13T00:00:00"/>
    <s v="General"/>
    <n v="5"/>
    <n v="113944"/>
    <n v="36554"/>
    <n v="26092"/>
    <n v="84441"/>
    <s v="UPI"/>
    <s v="ICICI Lombard"/>
    <s v="Recovered"/>
  </r>
  <r>
    <s v="P1494"/>
    <s v="Patient_495"/>
    <n v="81"/>
    <s v="Male"/>
    <x v="4"/>
    <s v="Dr. Sharma"/>
    <s v="OPD"/>
    <d v="2024-12-15T00:00:00"/>
    <d v="2024-09-07T00:00:00"/>
    <s v="General"/>
    <n v="8"/>
    <n v="22374"/>
    <n v="47922"/>
    <n v="28641"/>
    <n v="54121"/>
    <s v="Cash"/>
    <s v="HDFC Ergo"/>
    <s v="Referred"/>
  </r>
  <r>
    <s v="P1495"/>
    <s v="Patient_496"/>
    <n v="8"/>
    <s v="Female"/>
    <x v="2"/>
    <s v="Dr. Sharma"/>
    <s v="OPD"/>
    <d v="2024-09-10T00:00:00"/>
    <d v="2024-01-09T00:00:00"/>
    <s v="General"/>
    <n v="7"/>
    <n v="86471"/>
    <n v="14409"/>
    <n v="29777"/>
    <n v="220490"/>
    <s v="Card"/>
    <s v="New India Assurance"/>
    <s v="Recovered"/>
  </r>
  <r>
    <s v="P1496"/>
    <s v="Patient_497"/>
    <n v="26"/>
    <s v="Female"/>
    <x v="1"/>
    <s v="Dr. Patel"/>
    <s v="OPD"/>
    <d v="2024-04-27T00:00:00"/>
    <d v="2024-06-02T00:00:00"/>
    <s v="Private"/>
    <n v="14"/>
    <n v="50913"/>
    <n v="4791"/>
    <n v="13162"/>
    <n v="68197"/>
    <s v="UPI"/>
    <s v="Star Health"/>
    <s v="Referred"/>
  </r>
  <r>
    <s v="P1497"/>
    <s v="Patient_498"/>
    <n v="74"/>
    <s v="Male"/>
    <x v="0"/>
    <s v="Dr. Iyer"/>
    <s v="Referral"/>
    <d v="2024-07-16T00:00:00"/>
    <d v="2024-12-13T00:00:00"/>
    <s v="General"/>
    <n v="3"/>
    <n v="128683"/>
    <n v="26864"/>
    <n v="7282"/>
    <n v="92577"/>
    <s v="UPI"/>
    <s v="HDFC Ergo"/>
    <s v="Under Treatment"/>
  </r>
  <r>
    <s v="P1498"/>
    <s v="Patient_499"/>
    <n v="34"/>
    <s v="Female"/>
    <x v="5"/>
    <s v="Dr. Sharma"/>
    <s v="OPD"/>
    <d v="2024-12-02T00:00:00"/>
    <d v="2024-06-23T00:00:00"/>
    <s v="Private"/>
    <n v="18"/>
    <n v="49516"/>
    <n v="37639"/>
    <n v="27036"/>
    <n v="102634"/>
    <s v="Insurance"/>
    <s v="New India Assurance"/>
    <s v="Deceased"/>
  </r>
  <r>
    <s v="P1499"/>
    <s v="Patient_500"/>
    <n v="7"/>
    <s v="Male"/>
    <x v="0"/>
    <s v="Dr. Patel"/>
    <s v="OPD"/>
    <d v="2024-12-30T00:00:00"/>
    <d v="2024-12-09T00:00:00"/>
    <s v="General"/>
    <n v="16"/>
    <n v="92796"/>
    <n v="35574"/>
    <n v="1548"/>
    <n v="181503"/>
    <s v="Insurance"/>
    <s v="Star Health"/>
    <s v="Referr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ivotTable1"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3:B10" firstHeaderRow="1" firstDataRow="1" firstDataCol="1"/>
  <pivotFields count="18">
    <pivotField showAll="0"/>
    <pivotField showAll="0"/>
    <pivotField showAll="0"/>
    <pivotField showAll="0"/>
    <pivotField axis="axisRow" showAll="0" sortType="descending">
      <items count="7">
        <item x="5"/>
        <item x="3"/>
        <item x="1"/>
        <item x="4"/>
        <item x="0"/>
        <item x="2"/>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4" showAll="0"/>
    <pivotField showAll="0"/>
    <pivotField showAll="0"/>
    <pivotField showAll="0"/>
    <pivotField showAll="0"/>
    <pivotField showAll="0"/>
    <pivotField dataField="1" showAll="0">
      <items count="501">
        <item x="181"/>
        <item x="211"/>
        <item x="34"/>
        <item x="470"/>
        <item x="236"/>
        <item x="150"/>
        <item x="194"/>
        <item x="156"/>
        <item x="117"/>
        <item x="417"/>
        <item x="115"/>
        <item x="275"/>
        <item x="445"/>
        <item x="18"/>
        <item x="132"/>
        <item x="364"/>
        <item x="210"/>
        <item x="447"/>
        <item x="299"/>
        <item x="435"/>
        <item x="335"/>
        <item x="342"/>
        <item x="395"/>
        <item x="175"/>
        <item x="206"/>
        <item x="59"/>
        <item x="103"/>
        <item x="419"/>
        <item x="301"/>
        <item x="241"/>
        <item x="234"/>
        <item x="404"/>
        <item x="125"/>
        <item x="473"/>
        <item x="309"/>
        <item x="124"/>
        <item x="70"/>
        <item x="277"/>
        <item x="401"/>
        <item x="182"/>
        <item x="107"/>
        <item x="86"/>
        <item x="371"/>
        <item x="431"/>
        <item x="73"/>
        <item x="407"/>
        <item x="153"/>
        <item x="179"/>
        <item x="296"/>
        <item x="158"/>
        <item x="332"/>
        <item x="152"/>
        <item x="65"/>
        <item x="333"/>
        <item x="289"/>
        <item x="259"/>
        <item x="405"/>
        <item x="57"/>
        <item x="195"/>
        <item x="56"/>
        <item x="304"/>
        <item x="54"/>
        <item x="251"/>
        <item x="366"/>
        <item x="254"/>
        <item x="255"/>
        <item x="126"/>
        <item x="399"/>
        <item x="425"/>
        <item x="350"/>
        <item x="118"/>
        <item x="365"/>
        <item x="7"/>
        <item x="19"/>
        <item x="487"/>
        <item x="49"/>
        <item x="165"/>
        <item x="229"/>
        <item x="11"/>
        <item x="397"/>
        <item x="40"/>
        <item x="149"/>
        <item x="300"/>
        <item x="120"/>
        <item x="225"/>
        <item x="270"/>
        <item x="391"/>
        <item x="161"/>
        <item x="279"/>
        <item x="22"/>
        <item x="494"/>
        <item x="226"/>
        <item x="178"/>
        <item x="413"/>
        <item x="441"/>
        <item x="448"/>
        <item x="36"/>
        <item x="20"/>
        <item x="291"/>
        <item x="393"/>
        <item x="418"/>
        <item x="75"/>
        <item x="416"/>
        <item x="30"/>
        <item x="424"/>
        <item x="9"/>
        <item x="278"/>
        <item x="77"/>
        <item x="474"/>
        <item x="106"/>
        <item x="328"/>
        <item x="166"/>
        <item x="438"/>
        <item x="176"/>
        <item x="272"/>
        <item x="479"/>
        <item x="139"/>
        <item x="459"/>
        <item x="339"/>
        <item x="256"/>
        <item x="154"/>
        <item x="266"/>
        <item x="496"/>
        <item x="160"/>
        <item x="25"/>
        <item x="68"/>
        <item x="247"/>
        <item x="486"/>
        <item x="146"/>
        <item x="129"/>
        <item x="409"/>
        <item x="248"/>
        <item x="388"/>
        <item x="89"/>
        <item x="305"/>
        <item x="374"/>
        <item x="421"/>
        <item x="329"/>
        <item x="314"/>
        <item x="97"/>
        <item x="386"/>
        <item x="436"/>
        <item x="119"/>
        <item x="249"/>
        <item x="488"/>
        <item x="348"/>
        <item x="355"/>
        <item x="227"/>
        <item x="412"/>
        <item x="33"/>
        <item x="168"/>
        <item x="468"/>
        <item x="345"/>
        <item x="493"/>
        <item x="326"/>
        <item x="1"/>
        <item x="173"/>
        <item x="352"/>
        <item x="37"/>
        <item x="322"/>
        <item x="112"/>
        <item x="452"/>
        <item x="358"/>
        <item x="400"/>
        <item x="324"/>
        <item x="113"/>
        <item x="336"/>
        <item x="430"/>
        <item x="99"/>
        <item x="361"/>
        <item x="385"/>
        <item x="209"/>
        <item x="151"/>
        <item x="131"/>
        <item x="235"/>
        <item x="497"/>
        <item x="403"/>
        <item x="485"/>
        <item x="427"/>
        <item x="469"/>
        <item x="454"/>
        <item x="484"/>
        <item x="264"/>
        <item x="127"/>
        <item x="12"/>
        <item x="285"/>
        <item x="268"/>
        <item x="144"/>
        <item x="216"/>
        <item x="207"/>
        <item x="429"/>
        <item x="312"/>
        <item x="237"/>
        <item x="186"/>
        <item x="203"/>
        <item x="27"/>
        <item x="308"/>
        <item x="423"/>
        <item x="85"/>
        <item x="434"/>
        <item x="82"/>
        <item x="269"/>
        <item x="498"/>
        <item x="79"/>
        <item x="433"/>
        <item x="136"/>
        <item x="420"/>
        <item x="14"/>
        <item x="187"/>
        <item x="219"/>
        <item x="378"/>
        <item x="42"/>
        <item x="185"/>
        <item x="177"/>
        <item x="245"/>
        <item x="76"/>
        <item x="197"/>
        <item x="384"/>
        <item x="26"/>
        <item x="90"/>
        <item x="24"/>
        <item x="228"/>
        <item x="422"/>
        <item x="456"/>
        <item x="367"/>
        <item x="190"/>
        <item x="257"/>
        <item x="130"/>
        <item x="253"/>
        <item x="123"/>
        <item x="330"/>
        <item x="5"/>
        <item x="471"/>
        <item x="224"/>
        <item x="292"/>
        <item x="273"/>
        <item x="376"/>
        <item x="383"/>
        <item x="306"/>
        <item x="201"/>
        <item x="8"/>
        <item x="410"/>
        <item x="274"/>
        <item x="246"/>
        <item x="88"/>
        <item x="32"/>
        <item x="64"/>
        <item x="159"/>
        <item x="58"/>
        <item x="52"/>
        <item x="287"/>
        <item x="481"/>
        <item x="101"/>
        <item x="252"/>
        <item x="347"/>
        <item x="87"/>
        <item x="164"/>
        <item x="265"/>
        <item x="91"/>
        <item x="51"/>
        <item x="381"/>
        <item x="84"/>
        <item x="108"/>
        <item x="94"/>
        <item x="450"/>
        <item x="387"/>
        <item x="180"/>
        <item x="16"/>
        <item x="443"/>
        <item x="133"/>
        <item x="110"/>
        <item x="121"/>
        <item x="344"/>
        <item x="331"/>
        <item x="327"/>
        <item x="135"/>
        <item x="377"/>
        <item x="184"/>
        <item x="196"/>
        <item x="232"/>
        <item x="439"/>
        <item x="105"/>
        <item x="414"/>
        <item x="169"/>
        <item x="53"/>
        <item x="50"/>
        <item x="343"/>
        <item x="298"/>
        <item x="316"/>
        <item x="321"/>
        <item x="48"/>
        <item x="320"/>
        <item x="458"/>
        <item x="457"/>
        <item x="323"/>
        <item x="2"/>
        <item x="250"/>
        <item x="317"/>
        <item x="221"/>
        <item x="310"/>
        <item x="100"/>
        <item x="490"/>
        <item x="294"/>
        <item x="482"/>
        <item x="380"/>
        <item x="142"/>
        <item x="239"/>
        <item x="192"/>
        <item x="83"/>
        <item x="43"/>
        <item x="63"/>
        <item x="453"/>
        <item x="307"/>
        <item x="394"/>
        <item x="338"/>
        <item x="260"/>
        <item x="463"/>
        <item x="62"/>
        <item x="426"/>
        <item x="398"/>
        <item x="183"/>
        <item x="318"/>
        <item x="382"/>
        <item x="104"/>
        <item x="315"/>
        <item x="214"/>
        <item x="217"/>
        <item x="284"/>
        <item x="373"/>
        <item x="41"/>
        <item x="475"/>
        <item x="155"/>
        <item x="61"/>
        <item x="109"/>
        <item x="28"/>
        <item x="39"/>
        <item x="362"/>
        <item x="23"/>
        <item x="476"/>
        <item x="0"/>
        <item x="199"/>
        <item x="428"/>
        <item x="302"/>
        <item x="13"/>
        <item x="492"/>
        <item x="238"/>
        <item x="267"/>
        <item x="363"/>
        <item x="311"/>
        <item x="303"/>
        <item x="44"/>
        <item x="408"/>
        <item x="198"/>
        <item x="134"/>
        <item x="205"/>
        <item x="369"/>
        <item x="74"/>
        <item x="188"/>
        <item x="222"/>
        <item x="35"/>
        <item x="122"/>
        <item x="379"/>
        <item x="263"/>
        <item x="472"/>
        <item x="45"/>
        <item x="499"/>
        <item x="466"/>
        <item x="464"/>
        <item x="368"/>
        <item x="325"/>
        <item x="202"/>
        <item x="477"/>
        <item x="98"/>
        <item x="138"/>
        <item x="67"/>
        <item x="167"/>
        <item x="21"/>
        <item x="442"/>
        <item x="271"/>
        <item x="240"/>
        <item x="220"/>
        <item x="231"/>
        <item x="258"/>
        <item x="92"/>
        <item x="200"/>
        <item x="462"/>
        <item x="341"/>
        <item x="489"/>
        <item x="29"/>
        <item x="491"/>
        <item x="215"/>
        <item x="372"/>
        <item x="276"/>
        <item x="356"/>
        <item x="244"/>
        <item x="204"/>
        <item x="354"/>
        <item x="313"/>
        <item x="72"/>
        <item x="346"/>
        <item x="396"/>
        <item x="349"/>
        <item x="467"/>
        <item x="208"/>
        <item x="334"/>
        <item x="31"/>
        <item x="297"/>
        <item x="411"/>
        <item x="392"/>
        <item x="293"/>
        <item x="483"/>
        <item x="47"/>
        <item x="66"/>
        <item x="193"/>
        <item x="137"/>
        <item x="170"/>
        <item x="242"/>
        <item x="78"/>
        <item x="17"/>
        <item x="440"/>
        <item x="283"/>
        <item x="38"/>
        <item x="114"/>
        <item x="10"/>
        <item x="286"/>
        <item x="340"/>
        <item x="337"/>
        <item x="6"/>
        <item x="174"/>
        <item x="415"/>
        <item x="243"/>
        <item x="141"/>
        <item x="55"/>
        <item x="495"/>
        <item x="290"/>
        <item x="230"/>
        <item x="189"/>
        <item x="370"/>
        <item x="69"/>
        <item x="148"/>
        <item x="295"/>
        <item x="449"/>
        <item x="71"/>
        <item x="465"/>
        <item x="357"/>
        <item x="233"/>
        <item x="359"/>
        <item x="351"/>
        <item x="15"/>
        <item x="223"/>
        <item x="96"/>
        <item x="60"/>
        <item x="288"/>
        <item x="390"/>
        <item x="95"/>
        <item x="191"/>
        <item x="102"/>
        <item x="111"/>
        <item x="280"/>
        <item x="116"/>
        <item x="80"/>
        <item x="3"/>
        <item x="444"/>
        <item x="213"/>
        <item x="319"/>
        <item x="218"/>
        <item x="162"/>
        <item x="46"/>
        <item x="143"/>
        <item x="163"/>
        <item x="140"/>
        <item x="81"/>
        <item x="261"/>
        <item x="157"/>
        <item x="478"/>
        <item x="480"/>
        <item x="262"/>
        <item x="93"/>
        <item x="437"/>
        <item x="451"/>
        <item x="145"/>
        <item x="402"/>
        <item x="212"/>
        <item x="375"/>
        <item x="360"/>
        <item x="432"/>
        <item x="461"/>
        <item x="446"/>
        <item x="4"/>
        <item x="455"/>
        <item x="147"/>
        <item x="171"/>
        <item x="460"/>
        <item x="406"/>
        <item x="281"/>
        <item x="128"/>
        <item x="353"/>
        <item x="172"/>
        <item x="282"/>
        <item x="389"/>
        <item t="default"/>
      </items>
    </pivotField>
    <pivotField showAll="0"/>
    <pivotField showAll="0">
      <items count="6">
        <item x="3"/>
        <item x="1"/>
        <item x="4"/>
        <item x="0"/>
        <item x="2"/>
        <item t="default"/>
      </items>
    </pivotField>
    <pivotField showAll="0"/>
  </pivotFields>
  <rowFields count="1">
    <field x="4"/>
  </rowFields>
  <rowItems count="7">
    <i>
      <x v="2"/>
    </i>
    <i>
      <x/>
    </i>
    <i>
      <x v="4"/>
    </i>
    <i>
      <x v="1"/>
    </i>
    <i>
      <x v="3"/>
    </i>
    <i>
      <x v="5"/>
    </i>
    <i t="grand">
      <x/>
    </i>
  </rowItems>
  <colItems count="1">
    <i/>
  </colItems>
  <dataFields count="1">
    <dataField name="Sum of Total_Bill" fld="14"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4"/>
          </reference>
        </references>
      </pivotArea>
    </chartFormat>
    <chartFormat chart="0" format="2">
      <pivotArea type="data" outline="0" fieldPosition="0">
        <references count="2">
          <reference field="4294967294" count="1" selected="0">
            <x v="0"/>
          </reference>
          <reference field="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900-000001000000}" name="PivotTable2"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3:B8" firstHeaderRow="1" firstDataRow="1" firstDataCol="1"/>
  <pivotFields count="18">
    <pivotField showAll="0"/>
    <pivotField showAll="0"/>
    <pivotField showAll="0"/>
    <pivotField showAll="0"/>
    <pivotField showAll="0">
      <items count="7">
        <item x="5"/>
        <item x="3"/>
        <item x="1"/>
        <item x="4"/>
        <item x="0"/>
        <item x="2"/>
        <item t="default"/>
      </items>
    </pivotField>
    <pivotField showAll="0">
      <items count="7">
        <item x="5"/>
        <item x="2"/>
        <item x="0"/>
        <item x="3"/>
        <item x="4"/>
        <item x="1"/>
        <item t="default"/>
      </items>
    </pivotField>
    <pivotField showAll="0"/>
    <pivotField numFmtId="14" showAll="0"/>
    <pivotField numFmtId="14" showAll="0"/>
    <pivotField axis="axisRow" showAll="0">
      <items count="5">
        <item x="1"/>
        <item x="3"/>
        <item x="2"/>
        <item x="0"/>
        <item t="default"/>
      </items>
    </pivotField>
    <pivotField dataField="1" showAll="0"/>
    <pivotField showAll="0"/>
    <pivotField showAll="0"/>
    <pivotField showAll="0"/>
    <pivotField showAll="0">
      <items count="501">
        <item x="181"/>
        <item x="211"/>
        <item x="34"/>
        <item x="470"/>
        <item x="236"/>
        <item x="150"/>
        <item x="194"/>
        <item x="156"/>
        <item x="117"/>
        <item x="417"/>
        <item x="115"/>
        <item x="275"/>
        <item x="445"/>
        <item x="18"/>
        <item x="132"/>
        <item x="364"/>
        <item x="210"/>
        <item x="447"/>
        <item x="299"/>
        <item x="435"/>
        <item x="335"/>
        <item x="342"/>
        <item x="395"/>
        <item x="175"/>
        <item x="206"/>
        <item x="59"/>
        <item x="103"/>
        <item x="419"/>
        <item x="301"/>
        <item x="241"/>
        <item x="234"/>
        <item x="404"/>
        <item x="125"/>
        <item x="473"/>
        <item x="309"/>
        <item x="124"/>
        <item x="70"/>
        <item x="277"/>
        <item x="401"/>
        <item x="182"/>
        <item x="107"/>
        <item x="86"/>
        <item x="371"/>
        <item x="431"/>
        <item x="73"/>
        <item x="407"/>
        <item x="153"/>
        <item x="179"/>
        <item x="296"/>
        <item x="158"/>
        <item x="332"/>
        <item x="152"/>
        <item x="65"/>
        <item x="333"/>
        <item x="289"/>
        <item x="259"/>
        <item x="405"/>
        <item x="57"/>
        <item x="195"/>
        <item x="56"/>
        <item x="304"/>
        <item x="54"/>
        <item x="251"/>
        <item x="366"/>
        <item x="254"/>
        <item x="255"/>
        <item x="126"/>
        <item x="399"/>
        <item x="425"/>
        <item x="350"/>
        <item x="118"/>
        <item x="365"/>
        <item x="7"/>
        <item x="19"/>
        <item x="487"/>
        <item x="49"/>
        <item x="165"/>
        <item x="229"/>
        <item x="11"/>
        <item x="397"/>
        <item x="40"/>
        <item x="149"/>
        <item x="300"/>
        <item x="120"/>
        <item x="225"/>
        <item x="270"/>
        <item x="391"/>
        <item x="161"/>
        <item x="279"/>
        <item x="22"/>
        <item x="494"/>
        <item x="226"/>
        <item x="178"/>
        <item x="413"/>
        <item x="441"/>
        <item x="448"/>
        <item x="36"/>
        <item x="20"/>
        <item x="291"/>
        <item x="393"/>
        <item x="418"/>
        <item x="75"/>
        <item x="416"/>
        <item x="30"/>
        <item x="424"/>
        <item x="9"/>
        <item x="278"/>
        <item x="77"/>
        <item x="474"/>
        <item x="106"/>
        <item x="328"/>
        <item x="166"/>
        <item x="438"/>
        <item x="176"/>
        <item x="272"/>
        <item x="479"/>
        <item x="139"/>
        <item x="459"/>
        <item x="339"/>
        <item x="256"/>
        <item x="154"/>
        <item x="266"/>
        <item x="496"/>
        <item x="160"/>
        <item x="25"/>
        <item x="68"/>
        <item x="247"/>
        <item x="486"/>
        <item x="146"/>
        <item x="129"/>
        <item x="409"/>
        <item x="248"/>
        <item x="388"/>
        <item x="89"/>
        <item x="305"/>
        <item x="374"/>
        <item x="421"/>
        <item x="329"/>
        <item x="314"/>
        <item x="97"/>
        <item x="386"/>
        <item x="436"/>
        <item x="119"/>
        <item x="249"/>
        <item x="488"/>
        <item x="348"/>
        <item x="355"/>
        <item x="227"/>
        <item x="412"/>
        <item x="33"/>
        <item x="168"/>
        <item x="468"/>
        <item x="345"/>
        <item x="493"/>
        <item x="326"/>
        <item x="1"/>
        <item x="173"/>
        <item x="352"/>
        <item x="37"/>
        <item x="322"/>
        <item x="112"/>
        <item x="452"/>
        <item x="358"/>
        <item x="400"/>
        <item x="324"/>
        <item x="113"/>
        <item x="336"/>
        <item x="430"/>
        <item x="99"/>
        <item x="361"/>
        <item x="385"/>
        <item x="209"/>
        <item x="151"/>
        <item x="131"/>
        <item x="235"/>
        <item x="497"/>
        <item x="403"/>
        <item x="485"/>
        <item x="427"/>
        <item x="469"/>
        <item x="454"/>
        <item x="484"/>
        <item x="264"/>
        <item x="127"/>
        <item x="12"/>
        <item x="285"/>
        <item x="268"/>
        <item x="144"/>
        <item x="216"/>
        <item x="207"/>
        <item x="429"/>
        <item x="312"/>
        <item x="237"/>
        <item x="186"/>
        <item x="203"/>
        <item x="27"/>
        <item x="308"/>
        <item x="423"/>
        <item x="85"/>
        <item x="434"/>
        <item x="82"/>
        <item x="269"/>
        <item x="498"/>
        <item x="79"/>
        <item x="433"/>
        <item x="136"/>
        <item x="420"/>
        <item x="14"/>
        <item x="187"/>
        <item x="219"/>
        <item x="378"/>
        <item x="42"/>
        <item x="185"/>
        <item x="177"/>
        <item x="245"/>
        <item x="76"/>
        <item x="197"/>
        <item x="384"/>
        <item x="26"/>
        <item x="90"/>
        <item x="24"/>
        <item x="228"/>
        <item x="422"/>
        <item x="456"/>
        <item x="367"/>
        <item x="190"/>
        <item x="257"/>
        <item x="130"/>
        <item x="253"/>
        <item x="123"/>
        <item x="330"/>
        <item x="5"/>
        <item x="471"/>
        <item x="224"/>
        <item x="292"/>
        <item x="273"/>
        <item x="376"/>
        <item x="383"/>
        <item x="306"/>
        <item x="201"/>
        <item x="8"/>
        <item x="410"/>
        <item x="274"/>
        <item x="246"/>
        <item x="88"/>
        <item x="32"/>
        <item x="64"/>
        <item x="159"/>
        <item x="58"/>
        <item x="52"/>
        <item x="287"/>
        <item x="481"/>
        <item x="101"/>
        <item x="252"/>
        <item x="347"/>
        <item x="87"/>
        <item x="164"/>
        <item x="265"/>
        <item x="91"/>
        <item x="51"/>
        <item x="381"/>
        <item x="84"/>
        <item x="108"/>
        <item x="94"/>
        <item x="450"/>
        <item x="387"/>
        <item x="180"/>
        <item x="16"/>
        <item x="443"/>
        <item x="133"/>
        <item x="110"/>
        <item x="121"/>
        <item x="344"/>
        <item x="331"/>
        <item x="327"/>
        <item x="135"/>
        <item x="377"/>
        <item x="184"/>
        <item x="196"/>
        <item x="232"/>
        <item x="439"/>
        <item x="105"/>
        <item x="414"/>
        <item x="169"/>
        <item x="53"/>
        <item x="50"/>
        <item x="343"/>
        <item x="298"/>
        <item x="316"/>
        <item x="321"/>
        <item x="48"/>
        <item x="320"/>
        <item x="458"/>
        <item x="457"/>
        <item x="323"/>
        <item x="2"/>
        <item x="250"/>
        <item x="317"/>
        <item x="221"/>
        <item x="310"/>
        <item x="100"/>
        <item x="490"/>
        <item x="294"/>
        <item x="482"/>
        <item x="380"/>
        <item x="142"/>
        <item x="239"/>
        <item x="192"/>
        <item x="83"/>
        <item x="43"/>
        <item x="63"/>
        <item x="453"/>
        <item x="307"/>
        <item x="394"/>
        <item x="338"/>
        <item x="260"/>
        <item x="463"/>
        <item x="62"/>
        <item x="426"/>
        <item x="398"/>
        <item x="183"/>
        <item x="318"/>
        <item x="382"/>
        <item x="104"/>
        <item x="315"/>
        <item x="214"/>
        <item x="217"/>
        <item x="284"/>
        <item x="373"/>
        <item x="41"/>
        <item x="475"/>
        <item x="155"/>
        <item x="61"/>
        <item x="109"/>
        <item x="28"/>
        <item x="39"/>
        <item x="362"/>
        <item x="23"/>
        <item x="476"/>
        <item x="0"/>
        <item x="199"/>
        <item x="428"/>
        <item x="302"/>
        <item x="13"/>
        <item x="492"/>
        <item x="238"/>
        <item x="267"/>
        <item x="363"/>
        <item x="311"/>
        <item x="303"/>
        <item x="44"/>
        <item x="408"/>
        <item x="198"/>
        <item x="134"/>
        <item x="205"/>
        <item x="369"/>
        <item x="74"/>
        <item x="188"/>
        <item x="222"/>
        <item x="35"/>
        <item x="122"/>
        <item x="379"/>
        <item x="263"/>
        <item x="472"/>
        <item x="45"/>
        <item x="499"/>
        <item x="466"/>
        <item x="464"/>
        <item x="368"/>
        <item x="325"/>
        <item x="202"/>
        <item x="477"/>
        <item x="98"/>
        <item x="138"/>
        <item x="67"/>
        <item x="167"/>
        <item x="21"/>
        <item x="442"/>
        <item x="271"/>
        <item x="240"/>
        <item x="220"/>
        <item x="231"/>
        <item x="258"/>
        <item x="92"/>
        <item x="200"/>
        <item x="462"/>
        <item x="341"/>
        <item x="489"/>
        <item x="29"/>
        <item x="491"/>
        <item x="215"/>
        <item x="372"/>
        <item x="276"/>
        <item x="356"/>
        <item x="244"/>
        <item x="204"/>
        <item x="354"/>
        <item x="313"/>
        <item x="72"/>
        <item x="346"/>
        <item x="396"/>
        <item x="349"/>
        <item x="467"/>
        <item x="208"/>
        <item x="334"/>
        <item x="31"/>
        <item x="297"/>
        <item x="411"/>
        <item x="392"/>
        <item x="293"/>
        <item x="483"/>
        <item x="47"/>
        <item x="66"/>
        <item x="193"/>
        <item x="137"/>
        <item x="170"/>
        <item x="242"/>
        <item x="78"/>
        <item x="17"/>
        <item x="440"/>
        <item x="283"/>
        <item x="38"/>
        <item x="114"/>
        <item x="10"/>
        <item x="286"/>
        <item x="340"/>
        <item x="337"/>
        <item x="6"/>
        <item x="174"/>
        <item x="415"/>
        <item x="243"/>
        <item x="141"/>
        <item x="55"/>
        <item x="495"/>
        <item x="290"/>
        <item x="230"/>
        <item x="189"/>
        <item x="370"/>
        <item x="69"/>
        <item x="148"/>
        <item x="295"/>
        <item x="449"/>
        <item x="71"/>
        <item x="465"/>
        <item x="357"/>
        <item x="233"/>
        <item x="359"/>
        <item x="351"/>
        <item x="15"/>
        <item x="223"/>
        <item x="96"/>
        <item x="60"/>
        <item x="288"/>
        <item x="390"/>
        <item x="95"/>
        <item x="191"/>
        <item x="102"/>
        <item x="111"/>
        <item x="280"/>
        <item x="116"/>
        <item x="80"/>
        <item x="3"/>
        <item x="444"/>
        <item x="213"/>
        <item x="319"/>
        <item x="218"/>
        <item x="162"/>
        <item x="46"/>
        <item x="143"/>
        <item x="163"/>
        <item x="140"/>
        <item x="81"/>
        <item x="261"/>
        <item x="157"/>
        <item x="478"/>
        <item x="480"/>
        <item x="262"/>
        <item x="93"/>
        <item x="437"/>
        <item x="451"/>
        <item x="145"/>
        <item x="402"/>
        <item x="212"/>
        <item x="375"/>
        <item x="360"/>
        <item x="432"/>
        <item x="461"/>
        <item x="446"/>
        <item x="4"/>
        <item x="455"/>
        <item x="147"/>
        <item x="171"/>
        <item x="460"/>
        <item x="406"/>
        <item x="281"/>
        <item x="128"/>
        <item x="353"/>
        <item x="172"/>
        <item x="282"/>
        <item x="389"/>
        <item t="default"/>
      </items>
    </pivotField>
    <pivotField showAll="0"/>
    <pivotField showAll="0"/>
    <pivotField showAll="0"/>
  </pivotFields>
  <rowFields count="1">
    <field x="9"/>
  </rowFields>
  <rowItems count="5">
    <i>
      <x/>
    </i>
    <i>
      <x v="1"/>
    </i>
    <i>
      <x v="2"/>
    </i>
    <i>
      <x v="3"/>
    </i>
    <i t="grand">
      <x/>
    </i>
  </rowItems>
  <colItems count="1">
    <i/>
  </colItems>
  <dataFields count="1">
    <dataField name="Average of Length_of_Stay_Days" fld="10" subtotal="average" baseField="0" baseItem="0" numFmtId="164"/>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3"/>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900-000002000000}" name="PivotTable3"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3:B10" firstHeaderRow="1" firstDataRow="1" firstDataCol="1"/>
  <pivotFields count="18">
    <pivotField showAll="0"/>
    <pivotField showAll="0"/>
    <pivotField showAll="0"/>
    <pivotField showAll="0"/>
    <pivotField showAll="0">
      <items count="7">
        <item x="5"/>
        <item x="3"/>
        <item x="1"/>
        <item x="4"/>
        <item x="0"/>
        <item x="2"/>
        <item t="default"/>
      </items>
    </pivotField>
    <pivotField axis="axisRow" showAll="0">
      <items count="7">
        <item x="5"/>
        <item x="2"/>
        <item x="0"/>
        <item x="3"/>
        <item x="4"/>
        <item x="1"/>
        <item t="default"/>
      </items>
    </pivotField>
    <pivotField showAll="0"/>
    <pivotField numFmtId="14" showAll="0"/>
    <pivotField numFmtId="14" showAll="0"/>
    <pivotField showAll="0"/>
    <pivotField showAll="0"/>
    <pivotField showAll="0"/>
    <pivotField showAll="0"/>
    <pivotField showAll="0"/>
    <pivotField dataField="1" showAll="0"/>
    <pivotField showAll="0"/>
    <pivotField showAll="0"/>
    <pivotField showAll="0"/>
  </pivotFields>
  <rowFields count="1">
    <field x="5"/>
  </rowFields>
  <rowItems count="7">
    <i>
      <x/>
    </i>
    <i>
      <x v="1"/>
    </i>
    <i>
      <x v="2"/>
    </i>
    <i>
      <x v="3"/>
    </i>
    <i>
      <x v="4"/>
    </i>
    <i>
      <x v="5"/>
    </i>
    <i t="grand">
      <x/>
    </i>
  </rowItems>
  <colItems count="1">
    <i/>
  </colItems>
  <dataFields count="1">
    <dataField name="Sum of Total_Bill" fld="14" baseField="0" baseItem="0" numFmtId="165"/>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900-000003000000}" name="PivotTable4"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3:B8" firstHeaderRow="1" firstDataRow="1" firstDataCol="1"/>
  <pivotFields count="18">
    <pivotField showAll="0"/>
    <pivotField showAll="0"/>
    <pivotField showAll="0"/>
    <pivotField showAll="0"/>
    <pivotField showAll="0">
      <items count="7">
        <item x="5"/>
        <item x="3"/>
        <item x="1"/>
        <item x="4"/>
        <item x="0"/>
        <item x="2"/>
        <item t="default"/>
      </items>
    </pivotField>
    <pivotField showAll="0"/>
    <pivotField showAll="0"/>
    <pivotField numFmtId="14" showAll="0"/>
    <pivotField numFmtId="14" showAll="0"/>
    <pivotField showAll="0"/>
    <pivotField showAll="0"/>
    <pivotField showAll="0"/>
    <pivotField showAll="0"/>
    <pivotField showAll="0"/>
    <pivotField dataField="1" showAll="0"/>
    <pivotField axis="axisRow" showAll="0">
      <items count="5">
        <item x="0"/>
        <item x="2"/>
        <item x="3"/>
        <item x="1"/>
        <item t="default"/>
      </items>
    </pivotField>
    <pivotField showAll="0"/>
    <pivotField showAll="0"/>
  </pivotFields>
  <rowFields count="1">
    <field x="15"/>
  </rowFields>
  <rowItems count="5">
    <i>
      <x/>
    </i>
    <i>
      <x v="1"/>
    </i>
    <i>
      <x v="2"/>
    </i>
    <i>
      <x v="3"/>
    </i>
    <i t="grand">
      <x/>
    </i>
  </rowItems>
  <colItems count="1">
    <i/>
  </colItems>
  <dataFields count="1">
    <dataField name="Sum of Total_Bill" fld="1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900-000004000000}" name="PivotTable5"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4">
  <location ref="A3:B10" firstHeaderRow="1" firstDataRow="1" firstDataCol="1" rowPageCount="1" colPageCount="1"/>
  <pivotFields count="18">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90">
        <item x="60"/>
        <item x="13"/>
        <item x="10"/>
        <item x="34"/>
        <item x="62"/>
        <item x="46"/>
        <item x="30"/>
        <item x="40"/>
        <item x="36"/>
        <item x="88"/>
        <item x="61"/>
        <item x="64"/>
        <item x="72"/>
        <item x="35"/>
        <item x="1"/>
        <item x="82"/>
        <item x="80"/>
        <item x="33"/>
        <item x="78"/>
        <item x="83"/>
        <item x="4"/>
        <item x="11"/>
        <item x="65"/>
        <item x="9"/>
        <item x="86"/>
        <item x="55"/>
        <item x="68"/>
        <item x="63"/>
        <item x="57"/>
        <item x="14"/>
        <item x="85"/>
        <item x="73"/>
        <item x="18"/>
        <item x="49"/>
        <item x="41"/>
        <item x="44"/>
        <item x="66"/>
        <item x="15"/>
        <item x="32"/>
        <item x="52"/>
        <item x="56"/>
        <item x="24"/>
        <item x="71"/>
        <item x="39"/>
        <item x="58"/>
        <item x="87"/>
        <item x="27"/>
        <item x="51"/>
        <item x="22"/>
        <item x="45"/>
        <item x="28"/>
        <item x="0"/>
        <item x="12"/>
        <item x="47"/>
        <item x="29"/>
        <item x="77"/>
        <item x="75"/>
        <item x="20"/>
        <item x="23"/>
        <item x="17"/>
        <item x="3"/>
        <item x="26"/>
        <item x="48"/>
        <item x="16"/>
        <item x="59"/>
        <item x="74"/>
        <item x="84"/>
        <item x="79"/>
        <item x="81"/>
        <item x="76"/>
        <item x="38"/>
        <item x="2"/>
        <item x="31"/>
        <item x="50"/>
        <item x="7"/>
        <item x="19"/>
        <item x="70"/>
        <item x="42"/>
        <item x="69"/>
        <item x="25"/>
        <item x="43"/>
        <item x="54"/>
        <item x="5"/>
        <item x="37"/>
        <item x="53"/>
        <item x="67"/>
        <item x="6"/>
        <item x="8"/>
        <item x="21"/>
        <item t="default"/>
      </items>
    </pivotField>
    <pivotField showAll="0">
      <items count="3">
        <item x="0"/>
        <item x="1"/>
        <item t="default"/>
      </items>
    </pivotField>
    <pivotField axis="axisRow" showAll="0">
      <items count="7">
        <item x="5"/>
        <item x="3"/>
        <item x="1"/>
        <item x="4"/>
        <item x="0"/>
        <item x="2"/>
        <item t="default"/>
      </items>
    </pivotField>
    <pivotField showAll="0">
      <items count="7">
        <item x="5"/>
        <item x="2"/>
        <item x="0"/>
        <item x="3"/>
        <item x="4"/>
        <item x="1"/>
        <item t="default"/>
      </items>
    </pivotField>
    <pivotField showAll="0">
      <items count="4">
        <item x="2"/>
        <item x="0"/>
        <item x="1"/>
        <item t="default"/>
      </items>
    </pivotField>
    <pivotField numFmtId="14" showAll="0">
      <items count="273">
        <item x="21"/>
        <item x="253"/>
        <item x="30"/>
        <item x="73"/>
        <item x="178"/>
        <item x="166"/>
        <item x="204"/>
        <item x="18"/>
        <item x="144"/>
        <item x="74"/>
        <item x="161"/>
        <item x="216"/>
        <item x="233"/>
        <item x="103"/>
        <item x="157"/>
        <item x="223"/>
        <item x="234"/>
        <item x="248"/>
        <item x="83"/>
        <item x="185"/>
        <item x="165"/>
        <item x="23"/>
        <item x="101"/>
        <item x="212"/>
        <item x="151"/>
        <item x="8"/>
        <item x="41"/>
        <item x="214"/>
        <item x="124"/>
        <item x="66"/>
        <item x="107"/>
        <item x="228"/>
        <item x="265"/>
        <item x="164"/>
        <item x="65"/>
        <item x="226"/>
        <item x="186"/>
        <item x="152"/>
        <item x="242"/>
        <item x="17"/>
        <item x="113"/>
        <item x="251"/>
        <item x="109"/>
        <item x="268"/>
        <item x="132"/>
        <item x="130"/>
        <item x="143"/>
        <item x="47"/>
        <item x="71"/>
        <item x="96"/>
        <item x="176"/>
        <item x="245"/>
        <item x="252"/>
        <item x="239"/>
        <item x="75"/>
        <item x="243"/>
        <item x="258"/>
        <item x="196"/>
        <item x="95"/>
        <item x="119"/>
        <item x="68"/>
        <item x="114"/>
        <item x="36"/>
        <item x="135"/>
        <item x="177"/>
        <item x="227"/>
        <item x="241"/>
        <item x="100"/>
        <item x="89"/>
        <item x="99"/>
        <item x="121"/>
        <item x="115"/>
        <item x="62"/>
        <item x="123"/>
        <item x="28"/>
        <item x="159"/>
        <item x="14"/>
        <item x="270"/>
        <item x="236"/>
        <item x="179"/>
        <item x="91"/>
        <item x="191"/>
        <item x="153"/>
        <item x="158"/>
        <item x="46"/>
        <item x="27"/>
        <item x="4"/>
        <item x="94"/>
        <item x="29"/>
        <item x="199"/>
        <item x="162"/>
        <item x="16"/>
        <item x="211"/>
        <item x="129"/>
        <item x="217"/>
        <item x="98"/>
        <item x="163"/>
        <item x="78"/>
        <item x="247"/>
        <item x="136"/>
        <item x="70"/>
        <item x="219"/>
        <item x="20"/>
        <item x="266"/>
        <item x="141"/>
        <item x="183"/>
        <item x="201"/>
        <item x="93"/>
        <item x="43"/>
        <item x="59"/>
        <item x="22"/>
        <item x="19"/>
        <item x="104"/>
        <item x="181"/>
        <item x="35"/>
        <item x="6"/>
        <item x="45"/>
        <item x="180"/>
        <item x="206"/>
        <item x="56"/>
        <item x="133"/>
        <item x="117"/>
        <item x="15"/>
        <item x="255"/>
        <item x="105"/>
        <item x="39"/>
        <item x="254"/>
        <item x="76"/>
        <item x="88"/>
        <item x="67"/>
        <item x="197"/>
        <item x="229"/>
        <item x="209"/>
        <item x="97"/>
        <item x="210"/>
        <item x="112"/>
        <item x="54"/>
        <item x="147"/>
        <item x="137"/>
        <item x="232"/>
        <item x="238"/>
        <item x="149"/>
        <item x="230"/>
        <item x="55"/>
        <item x="131"/>
        <item x="160"/>
        <item x="57"/>
        <item x="263"/>
        <item x="173"/>
        <item x="250"/>
        <item x="169"/>
        <item x="79"/>
        <item x="13"/>
        <item x="0"/>
        <item x="184"/>
        <item x="145"/>
        <item x="172"/>
        <item x="69"/>
        <item x="198"/>
        <item x="138"/>
        <item x="192"/>
        <item x="128"/>
        <item x="213"/>
        <item x="194"/>
        <item x="221"/>
        <item x="42"/>
        <item x="155"/>
        <item x="182"/>
        <item x="134"/>
        <item x="140"/>
        <item x="37"/>
        <item x="154"/>
        <item x="156"/>
        <item x="240"/>
        <item x="222"/>
        <item x="220"/>
        <item x="24"/>
        <item x="92"/>
        <item x="64"/>
        <item x="264"/>
        <item x="146"/>
        <item x="244"/>
        <item x="63"/>
        <item x="139"/>
        <item x="170"/>
        <item x="32"/>
        <item x="51"/>
        <item x="260"/>
        <item x="120"/>
        <item x="85"/>
        <item x="108"/>
        <item x="200"/>
        <item x="81"/>
        <item x="50"/>
        <item x="269"/>
        <item x="122"/>
        <item x="187"/>
        <item x="58"/>
        <item x="118"/>
        <item x="5"/>
        <item x="82"/>
        <item x="111"/>
        <item x="215"/>
        <item x="202"/>
        <item x="90"/>
        <item x="205"/>
        <item x="40"/>
        <item x="125"/>
        <item x="80"/>
        <item x="167"/>
        <item x="208"/>
        <item x="25"/>
        <item x="84"/>
        <item x="150"/>
        <item x="225"/>
        <item x="168"/>
        <item x="224"/>
        <item x="3"/>
        <item x="10"/>
        <item x="38"/>
        <item x="87"/>
        <item x="171"/>
        <item x="1"/>
        <item x="44"/>
        <item x="249"/>
        <item x="235"/>
        <item x="7"/>
        <item x="262"/>
        <item x="218"/>
        <item x="11"/>
        <item x="256"/>
        <item x="127"/>
        <item x="86"/>
        <item x="12"/>
        <item x="246"/>
        <item x="261"/>
        <item x="142"/>
        <item x="207"/>
        <item x="61"/>
        <item x="257"/>
        <item x="190"/>
        <item x="34"/>
        <item x="53"/>
        <item x="195"/>
        <item x="267"/>
        <item x="116"/>
        <item x="52"/>
        <item x="9"/>
        <item x="102"/>
        <item x="72"/>
        <item x="193"/>
        <item x="148"/>
        <item x="49"/>
        <item x="60"/>
        <item x="174"/>
        <item x="175"/>
        <item x="110"/>
        <item x="77"/>
        <item x="26"/>
        <item x="106"/>
        <item x="188"/>
        <item x="203"/>
        <item x="189"/>
        <item x="231"/>
        <item x="2"/>
        <item x="259"/>
        <item x="126"/>
        <item x="31"/>
        <item x="48"/>
        <item x="237"/>
        <item x="33"/>
        <item x="271"/>
        <item t="default"/>
      </items>
    </pivotField>
    <pivotField numFmtId="14" showAll="0">
      <items count="270">
        <item x="196"/>
        <item x="93"/>
        <item x="200"/>
        <item x="92"/>
        <item x="56"/>
        <item x="135"/>
        <item x="155"/>
        <item x="243"/>
        <item x="156"/>
        <item x="87"/>
        <item x="266"/>
        <item x="111"/>
        <item x="53"/>
        <item x="94"/>
        <item x="167"/>
        <item x="122"/>
        <item x="83"/>
        <item x="216"/>
        <item x="30"/>
        <item x="109"/>
        <item x="182"/>
        <item x="2"/>
        <item x="33"/>
        <item x="264"/>
        <item x="213"/>
        <item x="202"/>
        <item x="149"/>
        <item x="183"/>
        <item x="126"/>
        <item x="84"/>
        <item x="44"/>
        <item x="265"/>
        <item x="212"/>
        <item x="140"/>
        <item x="7"/>
        <item x="235"/>
        <item x="0"/>
        <item x="139"/>
        <item x="29"/>
        <item x="120"/>
        <item x="104"/>
        <item x="175"/>
        <item x="81"/>
        <item x="233"/>
        <item x="157"/>
        <item x="234"/>
        <item x="90"/>
        <item x="96"/>
        <item x="199"/>
        <item x="112"/>
        <item x="4"/>
        <item x="12"/>
        <item x="138"/>
        <item x="223"/>
        <item x="8"/>
        <item x="184"/>
        <item x="101"/>
        <item x="116"/>
        <item x="80"/>
        <item x="68"/>
        <item x="219"/>
        <item x="31"/>
        <item x="137"/>
        <item x="78"/>
        <item x="70"/>
        <item x="130"/>
        <item x="13"/>
        <item x="211"/>
        <item x="118"/>
        <item x="244"/>
        <item x="125"/>
        <item x="88"/>
        <item x="106"/>
        <item x="21"/>
        <item x="150"/>
        <item x="162"/>
        <item x="268"/>
        <item x="142"/>
        <item x="35"/>
        <item x="49"/>
        <item x="187"/>
        <item x="158"/>
        <item x="220"/>
        <item x="95"/>
        <item x="148"/>
        <item x="207"/>
        <item x="117"/>
        <item x="76"/>
        <item x="40"/>
        <item x="224"/>
        <item x="195"/>
        <item x="99"/>
        <item x="15"/>
        <item x="57"/>
        <item x="165"/>
        <item x="18"/>
        <item x="69"/>
        <item x="247"/>
        <item x="170"/>
        <item x="173"/>
        <item x="253"/>
        <item x="154"/>
        <item x="105"/>
        <item x="188"/>
        <item x="260"/>
        <item x="65"/>
        <item x="62"/>
        <item x="97"/>
        <item x="215"/>
        <item x="61"/>
        <item x="236"/>
        <item x="185"/>
        <item x="32"/>
        <item x="252"/>
        <item x="64"/>
        <item x="179"/>
        <item x="245"/>
        <item x="159"/>
        <item x="58"/>
        <item x="75"/>
        <item x="161"/>
        <item x="38"/>
        <item x="136"/>
        <item x="66"/>
        <item x="100"/>
        <item x="119"/>
        <item x="85"/>
        <item x="240"/>
        <item x="221"/>
        <item x="25"/>
        <item x="151"/>
        <item x="86"/>
        <item x="55"/>
        <item x="246"/>
        <item x="181"/>
        <item x="24"/>
        <item x="232"/>
        <item x="48"/>
        <item x="28"/>
        <item x="171"/>
        <item x="180"/>
        <item x="198"/>
        <item x="9"/>
        <item x="250"/>
        <item x="54"/>
        <item x="131"/>
        <item x="89"/>
        <item x="63"/>
        <item x="194"/>
        <item x="60"/>
        <item x="43"/>
        <item x="222"/>
        <item x="206"/>
        <item x="143"/>
        <item x="174"/>
        <item x="192"/>
        <item x="34"/>
        <item x="114"/>
        <item x="218"/>
        <item x="176"/>
        <item x="42"/>
        <item x="71"/>
        <item x="210"/>
        <item x="37"/>
        <item x="228"/>
        <item x="163"/>
        <item x="208"/>
        <item x="177"/>
        <item x="127"/>
        <item x="47"/>
        <item x="16"/>
        <item x="115"/>
        <item x="263"/>
        <item x="257"/>
        <item x="141"/>
        <item x="267"/>
        <item x="255"/>
        <item x="107"/>
        <item x="1"/>
        <item x="152"/>
        <item x="164"/>
        <item x="59"/>
        <item x="51"/>
        <item x="209"/>
        <item x="204"/>
        <item x="124"/>
        <item x="231"/>
        <item x="251"/>
        <item x="146"/>
        <item x="14"/>
        <item x="10"/>
        <item x="128"/>
        <item x="144"/>
        <item x="229"/>
        <item x="172"/>
        <item x="133"/>
        <item x="134"/>
        <item x="160"/>
        <item x="39"/>
        <item x="190"/>
        <item x="193"/>
        <item x="186"/>
        <item x="153"/>
        <item x="238"/>
        <item x="110"/>
        <item x="129"/>
        <item x="19"/>
        <item x="169"/>
        <item x="147"/>
        <item x="121"/>
        <item x="178"/>
        <item x="79"/>
        <item x="256"/>
        <item x="103"/>
        <item x="17"/>
        <item x="23"/>
        <item x="46"/>
        <item x="3"/>
        <item x="201"/>
        <item x="237"/>
        <item x="72"/>
        <item x="132"/>
        <item x="226"/>
        <item x="227"/>
        <item x="262"/>
        <item x="248"/>
        <item x="259"/>
        <item x="20"/>
        <item x="67"/>
        <item x="26"/>
        <item x="225"/>
        <item x="261"/>
        <item x="108"/>
        <item x="6"/>
        <item x="241"/>
        <item x="166"/>
        <item x="22"/>
        <item x="77"/>
        <item x="214"/>
        <item x="45"/>
        <item x="91"/>
        <item x="242"/>
        <item x="205"/>
        <item x="217"/>
        <item x="41"/>
        <item x="50"/>
        <item x="258"/>
        <item x="74"/>
        <item x="36"/>
        <item x="197"/>
        <item x="102"/>
        <item x="73"/>
        <item x="191"/>
        <item x="249"/>
        <item x="5"/>
        <item x="189"/>
        <item x="168"/>
        <item x="82"/>
        <item x="203"/>
        <item x="11"/>
        <item x="239"/>
        <item x="230"/>
        <item x="254"/>
        <item x="52"/>
        <item x="27"/>
        <item x="145"/>
        <item x="113"/>
        <item x="98"/>
        <item x="123"/>
        <item t="default"/>
      </items>
    </pivotField>
    <pivotField showAll="0">
      <items count="5">
        <item x="1"/>
        <item x="3"/>
        <item x="2"/>
        <item x="0"/>
        <item t="default"/>
      </items>
    </pivotField>
    <pivotField showAll="0">
      <items count="20">
        <item x="14"/>
        <item x="9"/>
        <item x="18"/>
        <item x="2"/>
        <item x="13"/>
        <item x="12"/>
        <item x="17"/>
        <item x="3"/>
        <item x="11"/>
        <item x="1"/>
        <item x="10"/>
        <item x="8"/>
        <item x="7"/>
        <item x="5"/>
        <item x="6"/>
        <item x="16"/>
        <item x="0"/>
        <item x="4"/>
        <item x="15"/>
        <item t="default"/>
      </items>
    </pivotField>
    <pivotField showAll="0">
      <items count="500">
        <item x="374"/>
        <item x="401"/>
        <item x="188"/>
        <item x="19"/>
        <item x="190"/>
        <item x="86"/>
        <item x="302"/>
        <item x="109"/>
        <item x="119"/>
        <item x="123"/>
        <item x="263"/>
        <item x="435"/>
        <item x="99"/>
        <item x="421"/>
        <item x="336"/>
        <item x="87"/>
        <item x="148"/>
        <item x="145"/>
        <item x="408"/>
        <item x="407"/>
        <item x="163"/>
        <item x="248"/>
        <item x="309"/>
        <item x="219"/>
        <item x="432"/>
        <item x="296"/>
        <item x="228"/>
        <item x="199"/>
        <item x="453"/>
        <item x="341"/>
        <item x="348"/>
        <item x="456"/>
        <item x="191"/>
        <item x="152"/>
        <item x="166"/>
        <item x="149"/>
        <item x="225"/>
        <item x="427"/>
        <item x="2"/>
        <item x="476"/>
        <item x="402"/>
        <item x="261"/>
        <item x="88"/>
        <item x="124"/>
        <item x="240"/>
        <item x="247"/>
        <item x="272"/>
        <item x="396"/>
        <item x="460"/>
        <item x="184"/>
        <item x="314"/>
        <item x="342"/>
        <item x="369"/>
        <item x="294"/>
        <item x="493"/>
        <item x="286"/>
        <item x="95"/>
        <item x="16"/>
        <item x="483"/>
        <item x="210"/>
        <item x="478"/>
        <item x="162"/>
        <item x="446"/>
        <item x="63"/>
        <item x="39"/>
        <item x="414"/>
        <item x="304"/>
        <item x="195"/>
        <item x="283"/>
        <item x="249"/>
        <item x="398"/>
        <item x="44"/>
        <item x="26"/>
        <item x="79"/>
        <item x="397"/>
        <item x="444"/>
        <item x="297"/>
        <item x="169"/>
        <item x="60"/>
        <item x="231"/>
        <item x="96"/>
        <item x="326"/>
        <item x="235"/>
        <item x="81"/>
        <item x="74"/>
        <item x="127"/>
        <item x="236"/>
        <item x="246"/>
        <item x="20"/>
        <item x="64"/>
        <item x="455"/>
        <item x="175"/>
        <item x="490"/>
        <item x="412"/>
        <item x="265"/>
        <item x="239"/>
        <item x="486"/>
        <item x="344"/>
        <item x="375"/>
        <item x="383"/>
        <item x="360"/>
        <item x="5"/>
        <item x="411"/>
        <item x="429"/>
        <item x="377"/>
        <item x="382"/>
        <item x="97"/>
        <item x="417"/>
        <item x="114"/>
        <item x="321"/>
        <item x="390"/>
        <item x="100"/>
        <item x="413"/>
        <item x="153"/>
        <item x="353"/>
        <item x="325"/>
        <item x="410"/>
        <item x="399"/>
        <item x="497"/>
        <item x="144"/>
        <item x="335"/>
        <item x="442"/>
        <item x="62"/>
        <item x="495"/>
        <item x="31"/>
        <item x="226"/>
        <item x="30"/>
        <item x="3"/>
        <item x="257"/>
        <item x="459"/>
        <item x="104"/>
        <item x="345"/>
        <item x="333"/>
        <item x="254"/>
        <item x="137"/>
        <item x="380"/>
        <item x="94"/>
        <item x="420"/>
        <item x="391"/>
        <item x="42"/>
        <item x="298"/>
        <item x="170"/>
        <item x="4"/>
        <item x="158"/>
        <item x="466"/>
        <item x="93"/>
        <item x="338"/>
        <item x="113"/>
        <item x="423"/>
        <item x="41"/>
        <item x="290"/>
        <item x="268"/>
        <item x="176"/>
        <item x="366"/>
        <item x="392"/>
        <item x="288"/>
        <item x="12"/>
        <item x="61"/>
        <item x="161"/>
        <item x="116"/>
        <item x="72"/>
        <item x="364"/>
        <item x="279"/>
        <item x="78"/>
        <item x="277"/>
        <item x="53"/>
        <item x="102"/>
        <item x="51"/>
        <item x="156"/>
        <item x="258"/>
        <item x="212"/>
        <item x="480"/>
        <item x="317"/>
        <item x="378"/>
        <item x="118"/>
        <item x="291"/>
        <item x="178"/>
        <item x="15"/>
        <item x="173"/>
        <item x="245"/>
        <item x="76"/>
        <item x="454"/>
        <item x="471"/>
        <item x="330"/>
        <item x="139"/>
        <item x="409"/>
        <item x="273"/>
        <item x="319"/>
        <item x="358"/>
        <item x="129"/>
        <item x="213"/>
        <item x="363"/>
        <item x="7"/>
        <item x="221"/>
        <item x="167"/>
        <item x="128"/>
        <item x="98"/>
        <item x="36"/>
        <item x="147"/>
        <item x="293"/>
        <item x="67"/>
        <item x="241"/>
        <item x="428"/>
        <item x="121"/>
        <item x="264"/>
        <item x="477"/>
        <item x="418"/>
        <item x="27"/>
        <item x="133"/>
        <item x="465"/>
        <item x="440"/>
        <item x="347"/>
        <item x="122"/>
        <item x="278"/>
        <item x="494"/>
        <item x="34"/>
        <item x="24"/>
        <item x="223"/>
        <item x="131"/>
        <item x="194"/>
        <item x="260"/>
        <item x="112"/>
        <item x="289"/>
        <item x="28"/>
        <item x="361"/>
        <item x="280"/>
        <item x="21"/>
        <item x="208"/>
        <item x="343"/>
        <item x="200"/>
        <item x="172"/>
        <item x="485"/>
        <item x="1"/>
        <item x="205"/>
        <item x="10"/>
        <item x="498"/>
        <item x="448"/>
        <item x="68"/>
        <item x="229"/>
        <item x="322"/>
        <item x="40"/>
        <item x="142"/>
        <item x="434"/>
        <item x="70"/>
        <item x="373"/>
        <item x="146"/>
        <item x="276"/>
        <item x="203"/>
        <item x="13"/>
        <item x="467"/>
        <item x="204"/>
        <item x="422"/>
        <item x="110"/>
        <item x="301"/>
        <item x="359"/>
        <item x="303"/>
        <item x="151"/>
        <item x="90"/>
        <item x="43"/>
        <item x="73"/>
        <item x="400"/>
        <item x="50"/>
        <item x="157"/>
        <item x="242"/>
        <item x="189"/>
        <item x="332"/>
        <item x="230"/>
        <item x="71"/>
        <item x="108"/>
        <item x="324"/>
        <item x="187"/>
        <item x="250"/>
        <item x="346"/>
        <item x="484"/>
        <item x="209"/>
        <item x="474"/>
        <item x="233"/>
        <item x="337"/>
        <item x="105"/>
        <item x="159"/>
        <item x="66"/>
        <item x="160"/>
        <item x="46"/>
        <item x="37"/>
        <item x="120"/>
        <item x="224"/>
        <item x="8"/>
        <item x="243"/>
        <item x="318"/>
        <item x="214"/>
        <item x="395"/>
        <item x="492"/>
        <item x="451"/>
        <item x="130"/>
        <item x="310"/>
        <item x="55"/>
        <item x="328"/>
        <item x="186"/>
        <item x="192"/>
        <item x="89"/>
        <item x="77"/>
        <item x="372"/>
        <item x="300"/>
        <item x="165"/>
        <item x="295"/>
        <item x="185"/>
        <item x="252"/>
        <item x="287"/>
        <item x="177"/>
        <item x="132"/>
        <item x="33"/>
        <item x="425"/>
        <item x="23"/>
        <item x="58"/>
        <item x="22"/>
        <item x="405"/>
        <item x="362"/>
        <item x="168"/>
        <item x="481"/>
        <item x="365"/>
        <item x="452"/>
        <item x="125"/>
        <item x="329"/>
        <item x="393"/>
        <item x="38"/>
        <item x="339"/>
        <item x="25"/>
        <item x="154"/>
        <item x="489"/>
        <item x="379"/>
        <item x="312"/>
        <item x="111"/>
        <item x="496"/>
        <item x="284"/>
        <item x="487"/>
        <item x="107"/>
        <item x="59"/>
        <item x="270"/>
        <item x="227"/>
        <item x="445"/>
        <item x="262"/>
        <item x="84"/>
        <item x="56"/>
        <item x="389"/>
        <item x="443"/>
        <item x="217"/>
        <item x="82"/>
        <item x="450"/>
        <item x="406"/>
        <item x="367"/>
        <item x="141"/>
        <item x="9"/>
        <item x="285"/>
        <item x="461"/>
        <item x="155"/>
        <item x="352"/>
        <item x="54"/>
        <item x="140"/>
        <item x="419"/>
        <item x="274"/>
        <item x="449"/>
        <item x="106"/>
        <item x="267"/>
        <item x="32"/>
        <item x="69"/>
        <item x="403"/>
        <item x="211"/>
        <item x="370"/>
        <item x="181"/>
        <item x="350"/>
        <item x="237"/>
        <item x="182"/>
        <item x="136"/>
        <item x="29"/>
        <item x="388"/>
        <item x="48"/>
        <item x="385"/>
        <item x="356"/>
        <item x="17"/>
        <item x="281"/>
        <item x="0"/>
        <item x="354"/>
        <item x="174"/>
        <item x="376"/>
        <item x="207"/>
        <item x="316"/>
        <item x="57"/>
        <item x="103"/>
        <item x="259"/>
        <item x="80"/>
        <item x="6"/>
        <item x="14"/>
        <item x="469"/>
        <item x="49"/>
        <item x="462"/>
        <item x="206"/>
        <item x="253"/>
        <item x="83"/>
        <item x="202"/>
        <item x="11"/>
        <item x="134"/>
        <item x="323"/>
        <item x="266"/>
        <item x="164"/>
        <item x="468"/>
        <item x="441"/>
        <item x="75"/>
        <item x="18"/>
        <item x="447"/>
        <item x="198"/>
        <item x="126"/>
        <item x="222"/>
        <item x="426"/>
        <item x="238"/>
        <item x="52"/>
        <item x="179"/>
        <item x="271"/>
        <item x="439"/>
        <item x="357"/>
        <item x="197"/>
        <item x="143"/>
        <item x="371"/>
        <item x="349"/>
        <item x="387"/>
        <item x="384"/>
        <item x="282"/>
        <item x="320"/>
        <item x="255"/>
        <item x="306"/>
        <item x="381"/>
        <item x="472"/>
        <item x="269"/>
        <item x="292"/>
        <item x="355"/>
        <item x="394"/>
        <item x="438"/>
        <item x="193"/>
        <item x="85"/>
        <item x="470"/>
        <item x="256"/>
        <item x="251"/>
        <item x="488"/>
        <item x="491"/>
        <item x="311"/>
        <item x="430"/>
        <item x="92"/>
        <item x="218"/>
        <item x="424"/>
        <item x="482"/>
        <item x="232"/>
        <item x="65"/>
        <item x="313"/>
        <item x="117"/>
        <item x="457"/>
        <item x="183"/>
        <item x="340"/>
        <item x="216"/>
        <item x="415"/>
        <item x="196"/>
        <item x="201"/>
        <item x="315"/>
        <item x="479"/>
        <item x="464"/>
        <item x="305"/>
        <item x="35"/>
        <item x="437"/>
        <item x="91"/>
        <item x="327"/>
        <item x="220"/>
        <item x="334"/>
        <item x="458"/>
        <item x="331"/>
        <item x="386"/>
        <item x="431"/>
        <item x="275"/>
        <item x="436"/>
        <item x="404"/>
        <item x="215"/>
        <item x="171"/>
        <item x="135"/>
        <item x="433"/>
        <item x="416"/>
        <item x="234"/>
        <item x="308"/>
        <item x="45"/>
        <item x="47"/>
        <item x="101"/>
        <item x="463"/>
        <item x="351"/>
        <item x="244"/>
        <item x="475"/>
        <item x="473"/>
        <item x="299"/>
        <item x="180"/>
        <item x="138"/>
        <item x="368"/>
        <item x="307"/>
        <item x="115"/>
        <item x="150"/>
        <item t="default"/>
      </items>
    </pivotField>
    <pivotField showAll="0">
      <items count="496">
        <item x="55"/>
        <item x="427"/>
        <item x="74"/>
        <item x="352"/>
        <item x="175"/>
        <item x="459"/>
        <item x="181"/>
        <item x="42"/>
        <item x="62"/>
        <item x="446"/>
        <item x="200"/>
        <item x="372"/>
        <item x="234"/>
        <item x="388"/>
        <item x="316"/>
        <item x="10"/>
        <item x="379"/>
        <item x="386"/>
        <item x="482"/>
        <item x="377"/>
        <item x="371"/>
        <item x="73"/>
        <item x="160"/>
        <item x="86"/>
        <item x="203"/>
        <item x="268"/>
        <item x="421"/>
        <item x="435"/>
        <item x="205"/>
        <item x="151"/>
        <item x="237"/>
        <item x="309"/>
        <item x="60"/>
        <item x="491"/>
        <item x="247"/>
        <item x="431"/>
        <item x="292"/>
        <item x="266"/>
        <item x="136"/>
        <item x="192"/>
        <item x="109"/>
        <item x="201"/>
        <item x="22"/>
        <item x="152"/>
        <item x="221"/>
        <item x="333"/>
        <item x="206"/>
        <item x="159"/>
        <item x="373"/>
        <item x="362"/>
        <item x="452"/>
        <item x="135"/>
        <item x="67"/>
        <item x="148"/>
        <item x="250"/>
        <item x="438"/>
        <item x="20"/>
        <item x="356"/>
        <item x="114"/>
        <item x="474"/>
        <item x="150"/>
        <item x="396"/>
        <item x="12"/>
        <item x="393"/>
        <item x="254"/>
        <item x="184"/>
        <item x="170"/>
        <item x="196"/>
        <item x="406"/>
        <item x="24"/>
        <item x="327"/>
        <item x="44"/>
        <item x="337"/>
        <item x="423"/>
        <item x="137"/>
        <item x="398"/>
        <item x="442"/>
        <item x="195"/>
        <item x="395"/>
        <item x="408"/>
        <item x="246"/>
        <item x="458"/>
        <item x="487"/>
        <item x="96"/>
        <item x="339"/>
        <item x="134"/>
        <item x="93"/>
        <item x="187"/>
        <item x="390"/>
        <item x="49"/>
        <item x="182"/>
        <item x="279"/>
        <item x="310"/>
        <item x="330"/>
        <item x="9"/>
        <item x="312"/>
        <item x="108"/>
        <item x="30"/>
        <item x="132"/>
        <item x="420"/>
        <item x="138"/>
        <item x="447"/>
        <item x="11"/>
        <item x="456"/>
        <item x="414"/>
        <item x="145"/>
        <item x="361"/>
        <item x="294"/>
        <item x="216"/>
        <item x="418"/>
        <item x="445"/>
        <item x="402"/>
        <item x="441"/>
        <item x="409"/>
        <item x="301"/>
        <item x="194"/>
        <item x="32"/>
        <item x="81"/>
        <item x="298"/>
        <item x="80"/>
        <item x="480"/>
        <item x="228"/>
        <item x="252"/>
        <item x="178"/>
        <item x="490"/>
        <item x="35"/>
        <item x="470"/>
        <item x="375"/>
        <item x="164"/>
        <item x="350"/>
        <item x="405"/>
        <item x="276"/>
        <item x="321"/>
        <item x="157"/>
        <item x="162"/>
        <item x="111"/>
        <item x="112"/>
        <item x="376"/>
        <item x="351"/>
        <item x="249"/>
        <item x="387"/>
        <item x="98"/>
        <item x="217"/>
        <item x="244"/>
        <item x="63"/>
        <item x="289"/>
        <item x="85"/>
        <item x="302"/>
        <item x="303"/>
        <item x="57"/>
        <item x="419"/>
        <item x="66"/>
        <item x="77"/>
        <item x="434"/>
        <item x="291"/>
        <item x="389"/>
        <item x="475"/>
        <item x="56"/>
        <item x="27"/>
        <item x="241"/>
        <item x="5"/>
        <item x="286"/>
        <item x="454"/>
        <item x="231"/>
        <item x="120"/>
        <item x="290"/>
        <item x="261"/>
        <item x="193"/>
        <item x="355"/>
        <item x="124"/>
        <item x="382"/>
        <item x="186"/>
        <item x="453"/>
        <item x="300"/>
        <item x="144"/>
        <item x="397"/>
        <item x="299"/>
        <item x="180"/>
        <item x="425"/>
        <item x="19"/>
        <item x="230"/>
        <item x="211"/>
        <item x="105"/>
        <item x="69"/>
        <item x="1"/>
        <item x="177"/>
        <item x="429"/>
        <item x="208"/>
        <item x="486"/>
        <item x="324"/>
        <item x="273"/>
        <item x="320"/>
        <item x="317"/>
        <item x="167"/>
        <item x="325"/>
        <item x="410"/>
        <item x="416"/>
        <item x="72"/>
        <item x="53"/>
        <item x="346"/>
        <item x="359"/>
        <item x="439"/>
        <item x="380"/>
        <item x="417"/>
        <item x="404"/>
        <item x="64"/>
        <item x="223"/>
        <item x="190"/>
        <item x="341"/>
        <item x="128"/>
        <item x="198"/>
        <item x="87"/>
        <item x="17"/>
        <item x="338"/>
        <item x="154"/>
        <item x="229"/>
        <item x="257"/>
        <item x="146"/>
        <item x="215"/>
        <item x="260"/>
        <item x="38"/>
        <item x="381"/>
        <item x="34"/>
        <item x="236"/>
        <item x="318"/>
        <item x="54"/>
        <item x="101"/>
        <item x="188"/>
        <item x="220"/>
        <item x="218"/>
        <item x="360"/>
        <item x="232"/>
        <item x="311"/>
        <item x="319"/>
        <item x="306"/>
        <item x="391"/>
        <item x="212"/>
        <item x="125"/>
        <item x="48"/>
        <item x="161"/>
        <item x="79"/>
        <item x="448"/>
        <item x="214"/>
        <item x="281"/>
        <item x="277"/>
        <item x="65"/>
        <item x="264"/>
        <item x="59"/>
        <item x="209"/>
        <item x="282"/>
        <item x="256"/>
        <item x="172"/>
        <item x="227"/>
        <item x="210"/>
        <item x="110"/>
        <item x="233"/>
        <item x="326"/>
        <item x="163"/>
        <item x="400"/>
        <item x="492"/>
        <item x="52"/>
        <item x="0"/>
        <item x="450"/>
        <item x="401"/>
        <item x="443"/>
        <item x="275"/>
        <item x="265"/>
        <item x="411"/>
        <item x="99"/>
        <item x="18"/>
        <item x="245"/>
        <item x="426"/>
        <item x="332"/>
        <item x="370"/>
        <item x="43"/>
        <item x="403"/>
        <item x="472"/>
        <item x="455"/>
        <item x="130"/>
        <item x="33"/>
        <item x="92"/>
        <item x="335"/>
        <item x="104"/>
        <item x="348"/>
        <item x="29"/>
        <item x="165"/>
        <item x="460"/>
        <item x="239"/>
        <item x="83"/>
        <item x="58"/>
        <item x="113"/>
        <item x="224"/>
        <item x="412"/>
        <item x="183"/>
        <item x="238"/>
        <item x="467"/>
        <item x="407"/>
        <item x="179"/>
        <item x="476"/>
        <item x="392"/>
        <item x="329"/>
        <item x="156"/>
        <item x="158"/>
        <item x="468"/>
        <item x="91"/>
        <item x="131"/>
        <item x="166"/>
        <item x="122"/>
        <item x="463"/>
        <item x="483"/>
        <item x="248"/>
        <item x="347"/>
        <item x="25"/>
        <item x="357"/>
        <item x="270"/>
        <item x="36"/>
        <item x="477"/>
        <item x="84"/>
        <item x="255"/>
        <item x="267"/>
        <item x="176"/>
        <item x="422"/>
        <item x="222"/>
        <item x="78"/>
        <item x="129"/>
        <item x="4"/>
        <item x="133"/>
        <item x="116"/>
        <item x="364"/>
        <item x="358"/>
        <item x="378"/>
        <item x="444"/>
        <item x="140"/>
        <item x="147"/>
        <item x="334"/>
        <item x="71"/>
        <item x="394"/>
        <item x="457"/>
        <item x="21"/>
        <item x="284"/>
        <item x="432"/>
        <item x="118"/>
        <item x="8"/>
        <item x="95"/>
        <item x="464"/>
        <item x="46"/>
        <item x="315"/>
        <item x="199"/>
        <item x="258"/>
        <item x="485"/>
        <item x="462"/>
        <item x="494"/>
        <item x="369"/>
        <item x="280"/>
        <item x="308"/>
        <item x="262"/>
        <item x="345"/>
        <item x="368"/>
        <item x="484"/>
        <item x="90"/>
        <item x="488"/>
        <item x="155"/>
        <item x="466"/>
        <item x="106"/>
        <item x="344"/>
        <item x="253"/>
        <item x="70"/>
        <item x="16"/>
        <item x="174"/>
        <item x="478"/>
        <item x="2"/>
        <item x="139"/>
        <item x="173"/>
        <item x="123"/>
        <item x="493"/>
        <item x="353"/>
        <item x="274"/>
        <item x="207"/>
        <item x="287"/>
        <item x="82"/>
        <item x="39"/>
        <item x="278"/>
        <item x="31"/>
        <item x="100"/>
        <item x="413"/>
        <item x="328"/>
        <item x="50"/>
        <item x="374"/>
        <item x="197"/>
        <item x="142"/>
        <item x="436"/>
        <item x="296"/>
        <item x="323"/>
        <item x="89"/>
        <item x="6"/>
        <item x="297"/>
        <item x="340"/>
        <item x="437"/>
        <item x="185"/>
        <item x="3"/>
        <item x="225"/>
        <item x="479"/>
        <item x="97"/>
        <item x="61"/>
        <item x="461"/>
        <item x="243"/>
        <item x="169"/>
        <item x="471"/>
        <item x="141"/>
        <item x="349"/>
        <item x="204"/>
        <item x="235"/>
        <item x="7"/>
        <item x="440"/>
        <item x="342"/>
        <item x="119"/>
        <item x="451"/>
        <item x="331"/>
        <item x="424"/>
        <item x="94"/>
        <item x="13"/>
        <item x="285"/>
        <item x="68"/>
        <item x="213"/>
        <item x="240"/>
        <item x="428"/>
        <item x="14"/>
        <item x="481"/>
        <item x="47"/>
        <item x="117"/>
        <item x="367"/>
        <item x="385"/>
        <item x="343"/>
        <item x="295"/>
        <item x="465"/>
        <item x="126"/>
        <item x="191"/>
        <item x="76"/>
        <item x="288"/>
        <item x="153"/>
        <item x="305"/>
        <item x="363"/>
        <item x="88"/>
        <item x="293"/>
        <item x="40"/>
        <item x="307"/>
        <item x="189"/>
        <item x="219"/>
        <item x="103"/>
        <item x="15"/>
        <item x="430"/>
        <item x="314"/>
        <item x="271"/>
        <item x="23"/>
        <item x="272"/>
        <item x="269"/>
        <item x="336"/>
        <item x="149"/>
        <item x="107"/>
        <item x="383"/>
        <item x="283"/>
        <item x="226"/>
        <item x="127"/>
        <item x="26"/>
        <item x="322"/>
        <item x="473"/>
        <item x="168"/>
        <item x="415"/>
        <item x="102"/>
        <item x="75"/>
        <item x="242"/>
        <item x="263"/>
        <item x="489"/>
        <item x="51"/>
        <item x="28"/>
        <item x="202"/>
        <item x="399"/>
        <item x="313"/>
        <item x="366"/>
        <item x="365"/>
        <item x="171"/>
        <item x="115"/>
        <item x="469"/>
        <item x="37"/>
        <item x="304"/>
        <item x="143"/>
        <item x="259"/>
        <item x="449"/>
        <item x="251"/>
        <item x="433"/>
        <item x="121"/>
        <item x="354"/>
        <item x="45"/>
        <item x="41"/>
        <item x="384"/>
        <item t="default"/>
      </items>
    </pivotField>
    <pivotField showAll="0">
      <items count="494">
        <item x="33"/>
        <item x="167"/>
        <item x="70"/>
        <item x="209"/>
        <item x="300"/>
        <item x="278"/>
        <item x="157"/>
        <item x="485"/>
        <item x="360"/>
        <item x="442"/>
        <item x="389"/>
        <item x="199"/>
        <item x="294"/>
        <item x="492"/>
        <item x="58"/>
        <item x="74"/>
        <item x="212"/>
        <item x="113"/>
        <item x="259"/>
        <item x="244"/>
        <item x="484"/>
        <item x="228"/>
        <item x="412"/>
        <item x="208"/>
        <item x="467"/>
        <item x="49"/>
        <item x="354"/>
        <item x="86"/>
        <item x="183"/>
        <item x="479"/>
        <item x="160"/>
        <item x="205"/>
        <item x="460"/>
        <item x="145"/>
        <item x="346"/>
        <item x="481"/>
        <item x="387"/>
        <item x="292"/>
        <item x="309"/>
        <item x="430"/>
        <item x="178"/>
        <item x="189"/>
        <item x="221"/>
        <item x="474"/>
        <item x="478"/>
        <item x="416"/>
        <item x="73"/>
        <item x="10"/>
        <item x="105"/>
        <item x="72"/>
        <item x="380"/>
        <item x="385"/>
        <item x="436"/>
        <item x="200"/>
        <item x="376"/>
        <item x="359"/>
        <item x="23"/>
        <item x="234"/>
        <item x="432"/>
        <item x="227"/>
        <item x="263"/>
        <item x="388"/>
        <item x="122"/>
        <item x="404"/>
        <item x="202"/>
        <item x="27"/>
        <item x="365"/>
        <item x="426"/>
        <item x="93"/>
        <item x="315"/>
        <item x="271"/>
        <item x="203"/>
        <item x="51"/>
        <item x="151"/>
        <item x="363"/>
        <item x="375"/>
        <item x="84"/>
        <item x="347"/>
        <item x="437"/>
        <item x="35"/>
        <item x="226"/>
        <item x="85"/>
        <item x="345"/>
        <item x="370"/>
        <item x="398"/>
        <item x="75"/>
        <item x="314"/>
        <item x="261"/>
        <item x="156"/>
        <item x="112"/>
        <item x="420"/>
        <item x="36"/>
        <item x="164"/>
        <item x="223"/>
        <item x="424"/>
        <item x="231"/>
        <item x="78"/>
        <item x="225"/>
        <item x="136"/>
        <item x="282"/>
        <item x="146"/>
        <item x="95"/>
        <item x="431"/>
        <item x="159"/>
        <item x="243"/>
        <item x="414"/>
        <item x="490"/>
        <item x="258"/>
        <item x="268"/>
        <item x="313"/>
        <item x="139"/>
        <item x="355"/>
        <item x="392"/>
        <item x="438"/>
        <item x="179"/>
        <item x="198"/>
        <item x="301"/>
        <item x="405"/>
        <item x="321"/>
        <item x="111"/>
        <item x="283"/>
        <item x="448"/>
        <item x="121"/>
        <item x="334"/>
        <item x="166"/>
        <item x="419"/>
        <item x="182"/>
        <item x="237"/>
        <item x="274"/>
        <item x="264"/>
        <item x="308"/>
        <item x="233"/>
        <item x="21"/>
        <item x="50"/>
        <item x="119"/>
        <item x="443"/>
        <item x="173"/>
        <item x="123"/>
        <item x="54"/>
        <item x="296"/>
        <item x="352"/>
        <item x="428"/>
        <item x="262"/>
        <item x="284"/>
        <item x="293"/>
        <item x="148"/>
        <item x="118"/>
        <item x="107"/>
        <item x="312"/>
        <item x="395"/>
        <item x="60"/>
        <item x="381"/>
        <item x="26"/>
        <item x="246"/>
        <item x="191"/>
        <item x="333"/>
        <item x="22"/>
        <item x="291"/>
        <item x="38"/>
        <item x="193"/>
        <item x="52"/>
        <item x="337"/>
        <item x="252"/>
        <item x="196"/>
        <item x="409"/>
        <item x="353"/>
        <item x="19"/>
        <item x="446"/>
        <item x="127"/>
        <item x="89"/>
        <item x="265"/>
        <item x="229"/>
        <item x="109"/>
        <item x="441"/>
        <item x="320"/>
        <item x="102"/>
        <item x="116"/>
        <item x="305"/>
        <item x="120"/>
        <item x="61"/>
        <item x="349"/>
        <item x="55"/>
        <item x="256"/>
        <item x="215"/>
        <item x="462"/>
        <item x="286"/>
        <item x="98"/>
        <item x="307"/>
        <item x="403"/>
        <item x="68"/>
        <item x="133"/>
        <item x="65"/>
        <item x="59"/>
        <item x="322"/>
        <item x="477"/>
        <item x="48"/>
        <item x="132"/>
        <item x="140"/>
        <item x="377"/>
        <item x="87"/>
        <item x="62"/>
        <item x="28"/>
        <item x="489"/>
        <item x="336"/>
        <item x="138"/>
        <item x="433"/>
        <item x="30"/>
        <item x="287"/>
        <item x="186"/>
        <item x="468"/>
        <item x="188"/>
        <item x="372"/>
        <item x="434"/>
        <item x="276"/>
        <item x="213"/>
        <item x="190"/>
        <item x="162"/>
        <item x="29"/>
        <item x="92"/>
        <item x="298"/>
        <item x="155"/>
        <item x="3"/>
        <item x="472"/>
        <item x="242"/>
        <item x="475"/>
        <item x="371"/>
        <item x="40"/>
        <item x="364"/>
        <item x="458"/>
        <item x="158"/>
        <item x="141"/>
        <item x="135"/>
        <item x="220"/>
        <item x="362"/>
        <item x="476"/>
        <item x="357"/>
        <item x="452"/>
        <item x="339"/>
        <item x="83"/>
        <item x="358"/>
        <item x="267"/>
        <item x="222"/>
        <item x="210"/>
        <item x="464"/>
        <item x="56"/>
        <item x="379"/>
        <item x="465"/>
        <item x="343"/>
        <item x="318"/>
        <item x="325"/>
        <item x="351"/>
        <item x="366"/>
        <item x="17"/>
        <item x="96"/>
        <item x="473"/>
        <item x="128"/>
        <item x="8"/>
        <item x="134"/>
        <item x="257"/>
        <item x="12"/>
        <item x="94"/>
        <item x="368"/>
        <item x="399"/>
        <item x="176"/>
        <item x="285"/>
        <item x="184"/>
        <item x="470"/>
        <item x="147"/>
        <item x="275"/>
        <item x="103"/>
        <item x="463"/>
        <item x="290"/>
        <item x="129"/>
        <item x="401"/>
        <item x="216"/>
        <item x="425"/>
        <item x="445"/>
        <item x="373"/>
        <item x="230"/>
        <item x="247"/>
        <item x="382"/>
        <item x="455"/>
        <item x="170"/>
        <item x="306"/>
        <item x="326"/>
        <item x="344"/>
        <item x="117"/>
        <item x="469"/>
        <item x="130"/>
        <item x="449"/>
        <item x="423"/>
        <item x="0"/>
        <item x="77"/>
        <item x="332"/>
        <item x="7"/>
        <item x="240"/>
        <item x="427"/>
        <item x="338"/>
        <item x="331"/>
        <item x="224"/>
        <item x="266"/>
        <item x="418"/>
        <item x="69"/>
        <item x="451"/>
        <item x="369"/>
        <item x="163"/>
        <item x="137"/>
        <item x="253"/>
        <item x="329"/>
        <item x="236"/>
        <item x="413"/>
        <item x="407"/>
        <item x="453"/>
        <item x="280"/>
        <item x="394"/>
        <item x="88"/>
        <item x="168"/>
        <item x="415"/>
        <item x="483"/>
        <item x="11"/>
        <item x="435"/>
        <item x="421"/>
        <item x="471"/>
        <item x="1"/>
        <item x="126"/>
        <item x="486"/>
        <item x="288"/>
        <item x="149"/>
        <item x="269"/>
        <item x="238"/>
        <item x="383"/>
        <item x="254"/>
        <item x="214"/>
        <item x="152"/>
        <item x="97"/>
        <item x="450"/>
        <item x="187"/>
        <item x="393"/>
        <item x="143"/>
        <item x="204"/>
        <item x="39"/>
        <item x="197"/>
        <item x="260"/>
        <item x="279"/>
        <item x="211"/>
        <item x="277"/>
        <item x="250"/>
        <item x="323"/>
        <item x="169"/>
        <item x="4"/>
        <item x="439"/>
        <item x="390"/>
        <item x="79"/>
        <item x="124"/>
        <item x="248"/>
        <item x="457"/>
        <item x="81"/>
        <item x="270"/>
        <item x="206"/>
        <item x="302"/>
        <item x="239"/>
        <item x="303"/>
        <item x="335"/>
        <item x="311"/>
        <item x="406"/>
        <item x="67"/>
        <item x="18"/>
        <item x="340"/>
        <item x="91"/>
        <item x="106"/>
        <item x="201"/>
        <item x="115"/>
        <item x="402"/>
        <item x="384"/>
        <item x="108"/>
        <item x="42"/>
        <item x="245"/>
        <item x="232"/>
        <item x="2"/>
        <item x="172"/>
        <item x="45"/>
        <item x="142"/>
        <item x="348"/>
        <item x="195"/>
        <item x="64"/>
        <item x="480"/>
        <item x="459"/>
        <item x="328"/>
        <item x="180"/>
        <item x="63"/>
        <item x="153"/>
        <item x="218"/>
        <item x="324"/>
        <item x="71"/>
        <item x="104"/>
        <item x="16"/>
        <item x="289"/>
        <item x="304"/>
        <item x="299"/>
        <item x="82"/>
        <item x="410"/>
        <item x="31"/>
        <item x="6"/>
        <item x="361"/>
        <item x="192"/>
        <item x="53"/>
        <item x="249"/>
        <item x="219"/>
        <item x="24"/>
        <item x="408"/>
        <item x="32"/>
        <item x="34"/>
        <item x="185"/>
        <item x="110"/>
        <item x="461"/>
        <item x="397"/>
        <item x="454"/>
        <item x="43"/>
        <item x="466"/>
        <item x="386"/>
        <item x="13"/>
        <item x="174"/>
        <item x="99"/>
        <item x="487"/>
        <item x="47"/>
        <item x="429"/>
        <item x="37"/>
        <item x="367"/>
        <item x="171"/>
        <item x="181"/>
        <item x="9"/>
        <item x="80"/>
        <item x="46"/>
        <item x="440"/>
        <item x="316"/>
        <item x="150"/>
        <item x="251"/>
        <item x="144"/>
        <item x="330"/>
        <item x="491"/>
        <item x="411"/>
        <item x="125"/>
        <item x="272"/>
        <item x="177"/>
        <item x="41"/>
        <item x="378"/>
        <item x="444"/>
        <item x="327"/>
        <item x="90"/>
        <item x="20"/>
        <item x="273"/>
        <item x="15"/>
        <item x="295"/>
        <item x="76"/>
        <item x="400"/>
        <item x="217"/>
        <item x="456"/>
        <item x="175"/>
        <item x="317"/>
        <item x="5"/>
        <item x="417"/>
        <item x="114"/>
        <item x="165"/>
        <item x="44"/>
        <item x="66"/>
        <item x="396"/>
        <item x="207"/>
        <item x="447"/>
        <item x="391"/>
        <item x="342"/>
        <item x="25"/>
        <item x="161"/>
        <item x="488"/>
        <item x="194"/>
        <item x="422"/>
        <item x="350"/>
        <item x="57"/>
        <item x="297"/>
        <item x="374"/>
        <item x="100"/>
        <item x="14"/>
        <item x="341"/>
        <item x="154"/>
        <item x="281"/>
        <item x="101"/>
        <item x="131"/>
        <item x="356"/>
        <item x="482"/>
        <item x="319"/>
        <item x="235"/>
        <item x="241"/>
        <item x="310"/>
        <item x="255"/>
        <item t="default"/>
      </items>
    </pivotField>
    <pivotField showAll="0">
      <items count="501">
        <item x="181"/>
        <item x="211"/>
        <item x="34"/>
        <item x="470"/>
        <item x="236"/>
        <item x="150"/>
        <item x="194"/>
        <item x="156"/>
        <item x="117"/>
        <item x="417"/>
        <item x="115"/>
        <item x="275"/>
        <item x="445"/>
        <item x="18"/>
        <item x="132"/>
        <item x="364"/>
        <item x="210"/>
        <item x="447"/>
        <item x="299"/>
        <item x="435"/>
        <item x="335"/>
        <item x="342"/>
        <item x="395"/>
        <item x="175"/>
        <item x="206"/>
        <item x="59"/>
        <item x="103"/>
        <item x="419"/>
        <item x="301"/>
        <item x="241"/>
        <item x="234"/>
        <item x="404"/>
        <item x="125"/>
        <item x="473"/>
        <item x="309"/>
        <item x="124"/>
        <item x="70"/>
        <item x="277"/>
        <item x="401"/>
        <item x="182"/>
        <item x="107"/>
        <item x="86"/>
        <item x="371"/>
        <item x="431"/>
        <item x="73"/>
        <item x="407"/>
        <item x="153"/>
        <item x="179"/>
        <item x="296"/>
        <item x="158"/>
        <item x="332"/>
        <item x="152"/>
        <item x="65"/>
        <item x="333"/>
        <item x="289"/>
        <item x="259"/>
        <item x="405"/>
        <item x="57"/>
        <item x="195"/>
        <item x="56"/>
        <item x="304"/>
        <item x="54"/>
        <item x="251"/>
        <item x="366"/>
        <item x="254"/>
        <item x="255"/>
        <item x="126"/>
        <item x="399"/>
        <item x="425"/>
        <item x="350"/>
        <item x="118"/>
        <item x="365"/>
        <item x="7"/>
        <item x="19"/>
        <item x="487"/>
        <item x="49"/>
        <item x="165"/>
        <item x="229"/>
        <item x="11"/>
        <item x="397"/>
        <item x="40"/>
        <item x="149"/>
        <item x="300"/>
        <item x="120"/>
        <item x="225"/>
        <item x="270"/>
        <item x="391"/>
        <item x="161"/>
        <item x="279"/>
        <item x="22"/>
        <item x="494"/>
        <item x="226"/>
        <item x="178"/>
        <item x="413"/>
        <item x="441"/>
        <item x="448"/>
        <item x="36"/>
        <item x="20"/>
        <item x="291"/>
        <item x="393"/>
        <item x="418"/>
        <item x="75"/>
        <item x="416"/>
        <item x="30"/>
        <item x="424"/>
        <item x="9"/>
        <item x="278"/>
        <item x="77"/>
        <item x="474"/>
        <item x="106"/>
        <item x="328"/>
        <item x="166"/>
        <item x="438"/>
        <item x="176"/>
        <item x="272"/>
        <item x="479"/>
        <item x="139"/>
        <item x="459"/>
        <item x="339"/>
        <item x="256"/>
        <item x="154"/>
        <item x="266"/>
        <item x="496"/>
        <item x="160"/>
        <item x="25"/>
        <item x="68"/>
        <item x="247"/>
        <item x="486"/>
        <item x="146"/>
        <item x="129"/>
        <item x="409"/>
        <item x="248"/>
        <item x="388"/>
        <item x="89"/>
        <item x="305"/>
        <item x="374"/>
        <item x="421"/>
        <item x="329"/>
        <item x="314"/>
        <item x="97"/>
        <item x="386"/>
        <item x="436"/>
        <item x="119"/>
        <item x="249"/>
        <item x="488"/>
        <item x="348"/>
        <item x="355"/>
        <item x="227"/>
        <item x="412"/>
        <item x="33"/>
        <item x="168"/>
        <item x="468"/>
        <item x="345"/>
        <item x="493"/>
        <item x="326"/>
        <item x="1"/>
        <item x="173"/>
        <item x="352"/>
        <item x="37"/>
        <item x="322"/>
        <item x="112"/>
        <item x="452"/>
        <item x="358"/>
        <item x="400"/>
        <item x="324"/>
        <item x="113"/>
        <item x="336"/>
        <item x="430"/>
        <item x="99"/>
        <item x="361"/>
        <item x="385"/>
        <item x="209"/>
        <item x="151"/>
        <item x="131"/>
        <item x="235"/>
        <item x="497"/>
        <item x="403"/>
        <item x="485"/>
        <item x="427"/>
        <item x="469"/>
        <item x="454"/>
        <item x="484"/>
        <item x="264"/>
        <item x="127"/>
        <item x="12"/>
        <item x="285"/>
        <item x="268"/>
        <item x="144"/>
        <item x="216"/>
        <item x="207"/>
        <item x="429"/>
        <item x="312"/>
        <item x="237"/>
        <item x="186"/>
        <item x="203"/>
        <item x="27"/>
        <item x="308"/>
        <item x="423"/>
        <item x="85"/>
        <item x="434"/>
        <item x="82"/>
        <item x="269"/>
        <item x="498"/>
        <item x="79"/>
        <item x="433"/>
        <item x="136"/>
        <item x="420"/>
        <item x="14"/>
        <item x="187"/>
        <item x="219"/>
        <item x="378"/>
        <item x="42"/>
        <item x="185"/>
        <item x="177"/>
        <item x="245"/>
        <item x="76"/>
        <item x="197"/>
        <item x="384"/>
        <item x="26"/>
        <item x="90"/>
        <item x="24"/>
        <item x="228"/>
        <item x="422"/>
        <item x="456"/>
        <item x="367"/>
        <item x="190"/>
        <item x="257"/>
        <item x="130"/>
        <item x="253"/>
        <item x="123"/>
        <item x="330"/>
        <item x="5"/>
        <item x="471"/>
        <item x="224"/>
        <item x="292"/>
        <item x="273"/>
        <item x="376"/>
        <item x="383"/>
        <item x="306"/>
        <item x="201"/>
        <item x="8"/>
        <item x="410"/>
        <item x="274"/>
        <item x="246"/>
        <item x="88"/>
        <item x="32"/>
        <item x="64"/>
        <item x="159"/>
        <item x="58"/>
        <item x="52"/>
        <item x="287"/>
        <item x="481"/>
        <item x="101"/>
        <item x="252"/>
        <item x="347"/>
        <item x="87"/>
        <item x="164"/>
        <item x="265"/>
        <item x="91"/>
        <item x="51"/>
        <item x="381"/>
        <item x="84"/>
        <item x="108"/>
        <item x="94"/>
        <item x="450"/>
        <item x="387"/>
        <item x="180"/>
        <item x="16"/>
        <item x="443"/>
        <item x="133"/>
        <item x="110"/>
        <item x="121"/>
        <item x="344"/>
        <item x="331"/>
        <item x="327"/>
        <item x="135"/>
        <item x="377"/>
        <item x="184"/>
        <item x="196"/>
        <item x="232"/>
        <item x="439"/>
        <item x="105"/>
        <item x="414"/>
        <item x="169"/>
        <item x="53"/>
        <item x="50"/>
        <item x="343"/>
        <item x="298"/>
        <item x="316"/>
        <item x="321"/>
        <item x="48"/>
        <item x="320"/>
        <item x="458"/>
        <item x="457"/>
        <item x="323"/>
        <item x="2"/>
        <item x="250"/>
        <item x="317"/>
        <item x="221"/>
        <item x="310"/>
        <item x="100"/>
        <item x="490"/>
        <item x="294"/>
        <item x="482"/>
        <item x="380"/>
        <item x="142"/>
        <item x="239"/>
        <item x="192"/>
        <item x="83"/>
        <item x="43"/>
        <item x="63"/>
        <item x="453"/>
        <item x="307"/>
        <item x="394"/>
        <item x="338"/>
        <item x="260"/>
        <item x="463"/>
        <item x="62"/>
        <item x="426"/>
        <item x="398"/>
        <item x="183"/>
        <item x="318"/>
        <item x="382"/>
        <item x="104"/>
        <item x="315"/>
        <item x="214"/>
        <item x="217"/>
        <item x="284"/>
        <item x="373"/>
        <item x="41"/>
        <item x="475"/>
        <item x="155"/>
        <item x="61"/>
        <item x="109"/>
        <item x="28"/>
        <item x="39"/>
        <item x="362"/>
        <item x="23"/>
        <item x="476"/>
        <item x="0"/>
        <item x="199"/>
        <item x="428"/>
        <item x="302"/>
        <item x="13"/>
        <item x="492"/>
        <item x="238"/>
        <item x="267"/>
        <item x="363"/>
        <item x="311"/>
        <item x="303"/>
        <item x="44"/>
        <item x="408"/>
        <item x="198"/>
        <item x="134"/>
        <item x="205"/>
        <item x="369"/>
        <item x="74"/>
        <item x="188"/>
        <item x="222"/>
        <item x="35"/>
        <item x="122"/>
        <item x="379"/>
        <item x="263"/>
        <item x="472"/>
        <item x="45"/>
        <item x="499"/>
        <item x="466"/>
        <item x="464"/>
        <item x="368"/>
        <item x="325"/>
        <item x="202"/>
        <item x="477"/>
        <item x="98"/>
        <item x="138"/>
        <item x="67"/>
        <item x="167"/>
        <item x="21"/>
        <item x="442"/>
        <item x="271"/>
        <item x="240"/>
        <item x="220"/>
        <item x="231"/>
        <item x="258"/>
        <item x="92"/>
        <item x="200"/>
        <item x="462"/>
        <item x="341"/>
        <item x="489"/>
        <item x="29"/>
        <item x="491"/>
        <item x="215"/>
        <item x="372"/>
        <item x="276"/>
        <item x="356"/>
        <item x="244"/>
        <item x="204"/>
        <item x="354"/>
        <item x="313"/>
        <item x="72"/>
        <item x="346"/>
        <item x="396"/>
        <item x="349"/>
        <item x="467"/>
        <item x="208"/>
        <item x="334"/>
        <item x="31"/>
        <item x="297"/>
        <item x="411"/>
        <item x="392"/>
        <item x="293"/>
        <item x="483"/>
        <item x="47"/>
        <item x="66"/>
        <item x="193"/>
        <item x="137"/>
        <item x="170"/>
        <item x="242"/>
        <item x="78"/>
        <item x="17"/>
        <item x="440"/>
        <item x="283"/>
        <item x="38"/>
        <item x="114"/>
        <item x="10"/>
        <item x="286"/>
        <item x="340"/>
        <item x="337"/>
        <item x="6"/>
        <item x="174"/>
        <item x="415"/>
        <item x="243"/>
        <item x="141"/>
        <item x="55"/>
        <item x="495"/>
        <item x="290"/>
        <item x="230"/>
        <item x="189"/>
        <item x="370"/>
        <item x="69"/>
        <item x="148"/>
        <item x="295"/>
        <item x="449"/>
        <item x="71"/>
        <item x="465"/>
        <item x="357"/>
        <item x="233"/>
        <item x="359"/>
        <item x="351"/>
        <item x="15"/>
        <item x="223"/>
        <item x="96"/>
        <item x="60"/>
        <item x="288"/>
        <item x="390"/>
        <item x="95"/>
        <item x="191"/>
        <item x="102"/>
        <item x="111"/>
        <item x="280"/>
        <item x="116"/>
        <item x="80"/>
        <item x="3"/>
        <item x="444"/>
        <item x="213"/>
        <item x="319"/>
        <item x="218"/>
        <item x="162"/>
        <item x="46"/>
        <item x="143"/>
        <item x="163"/>
        <item x="140"/>
        <item x="81"/>
        <item x="261"/>
        <item x="157"/>
        <item x="478"/>
        <item x="480"/>
        <item x="262"/>
        <item x="93"/>
        <item x="437"/>
        <item x="451"/>
        <item x="145"/>
        <item x="402"/>
        <item x="212"/>
        <item x="375"/>
        <item x="360"/>
        <item x="432"/>
        <item x="461"/>
        <item x="446"/>
        <item x="4"/>
        <item x="455"/>
        <item x="147"/>
        <item x="171"/>
        <item x="460"/>
        <item x="406"/>
        <item x="281"/>
        <item x="128"/>
        <item x="353"/>
        <item x="172"/>
        <item x="282"/>
        <item x="389"/>
        <item t="default"/>
      </items>
    </pivotField>
    <pivotField showAll="0">
      <items count="5">
        <item x="0"/>
        <item x="2"/>
        <item x="3"/>
        <item x="1"/>
        <item t="default"/>
      </items>
    </pivotField>
    <pivotField showAll="0">
      <items count="6">
        <item x="3"/>
        <item x="1"/>
        <item x="4"/>
        <item x="0"/>
        <item x="2"/>
        <item t="default"/>
      </items>
    </pivotField>
    <pivotField axis="axisPage" dataField="1" multipleItemSelectionAllowed="1" showAll="0">
      <items count="5">
        <item h="1" x="0"/>
        <item x="3"/>
        <item h="1" x="2"/>
        <item h="1" x="1"/>
        <item t="default"/>
      </items>
    </pivotField>
  </pivotFields>
  <rowFields count="1">
    <field x="4"/>
  </rowFields>
  <rowItems count="7">
    <i>
      <x/>
    </i>
    <i>
      <x v="1"/>
    </i>
    <i>
      <x v="2"/>
    </i>
    <i>
      <x v="3"/>
    </i>
    <i>
      <x v="4"/>
    </i>
    <i>
      <x v="5"/>
    </i>
    <i t="grand">
      <x/>
    </i>
  </rowItems>
  <colItems count="1">
    <i/>
  </colItems>
  <pageFields count="1">
    <pageField fld="17" hier="-1"/>
  </pageFields>
  <dataFields count="1">
    <dataField name="Count of Patient_Status" fld="17" subtotal="count" showDataAs="percentOfTotal" baseField="0" baseItem="0" numFmtId="166"/>
  </dataFields>
  <chartFormats count="14">
    <chartFormat chart="0" format="7"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4" count="1" selected="0">
            <x v="2"/>
          </reference>
        </references>
      </pivotArea>
    </chartFormat>
    <chartFormat chart="0" format="9">
      <pivotArea type="data" outline="0" fieldPosition="0">
        <references count="2">
          <reference field="4294967294" count="1" selected="0">
            <x v="0"/>
          </reference>
          <reference field="4" count="1" selected="0">
            <x v="3"/>
          </reference>
        </references>
      </pivotArea>
    </chartFormat>
    <chartFormat chart="0" format="10">
      <pivotArea type="data" outline="0" fieldPosition="0">
        <references count="2">
          <reference field="4294967294" count="1" selected="0">
            <x v="0"/>
          </reference>
          <reference field="4" count="1" selected="0">
            <x v="4"/>
          </reference>
        </references>
      </pivotArea>
    </chartFormat>
    <chartFormat chart="0" format="11">
      <pivotArea type="data" outline="0" fieldPosition="0">
        <references count="2">
          <reference field="4294967294" count="1" selected="0">
            <x v="0"/>
          </reference>
          <reference field="4" count="1" selected="0">
            <x v="5"/>
          </reference>
        </references>
      </pivotArea>
    </chartFormat>
    <chartFormat chart="0" format="12">
      <pivotArea type="data" outline="0" fieldPosition="0">
        <references count="2">
          <reference field="4294967294" count="1" selected="0">
            <x v="0"/>
          </reference>
          <reference field="4" count="1" selected="0">
            <x v="0"/>
          </reference>
        </references>
      </pivotArea>
    </chartFormat>
    <chartFormat chart="0" format="13">
      <pivotArea type="data" outline="0" fieldPosition="0">
        <references count="2">
          <reference field="4294967294" count="1" selected="0">
            <x v="0"/>
          </reference>
          <reference field="4" count="1" selected="0">
            <x v="1"/>
          </reference>
        </references>
      </pivotArea>
    </chartFormat>
    <chartFormat chart="3" format="21"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4" count="1" selected="0">
            <x v="0"/>
          </reference>
        </references>
      </pivotArea>
    </chartFormat>
    <chartFormat chart="3" format="23">
      <pivotArea type="data" outline="0" fieldPosition="0">
        <references count="2">
          <reference field="4294967294" count="1" selected="0">
            <x v="0"/>
          </reference>
          <reference field="4" count="1" selected="0">
            <x v="1"/>
          </reference>
        </references>
      </pivotArea>
    </chartFormat>
    <chartFormat chart="3" format="24">
      <pivotArea type="data" outline="0" fieldPosition="0">
        <references count="2">
          <reference field="4294967294" count="1" selected="0">
            <x v="0"/>
          </reference>
          <reference field="4" count="1" selected="0">
            <x v="2"/>
          </reference>
        </references>
      </pivotArea>
    </chartFormat>
    <chartFormat chart="3" format="25">
      <pivotArea type="data" outline="0" fieldPosition="0">
        <references count="2">
          <reference field="4294967294" count="1" selected="0">
            <x v="0"/>
          </reference>
          <reference field="4" count="1" selected="0">
            <x v="3"/>
          </reference>
        </references>
      </pivotArea>
    </chartFormat>
    <chartFormat chart="3" format="26">
      <pivotArea type="data" outline="0" fieldPosition="0">
        <references count="2">
          <reference field="4294967294" count="1" selected="0">
            <x v="0"/>
          </reference>
          <reference field="4" count="1" selected="0">
            <x v="4"/>
          </reference>
        </references>
      </pivotArea>
    </chartFormat>
    <chartFormat chart="3" format="27">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900-000005000000}" name="PivotTable6"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3:B9" firstHeaderRow="1" firstDataRow="1" firstDataCol="1"/>
  <pivotFields count="18">
    <pivotField showAll="0"/>
    <pivotField showAll="0"/>
    <pivotField showAll="0"/>
    <pivotField showAll="0"/>
    <pivotField showAll="0">
      <items count="7">
        <item x="5"/>
        <item x="3"/>
        <item x="1"/>
        <item x="4"/>
        <item x="0"/>
        <item x="2"/>
        <item t="default"/>
      </items>
    </pivotField>
    <pivotField showAll="0">
      <items count="7">
        <item x="5"/>
        <item x="2"/>
        <item x="0"/>
        <item x="3"/>
        <item x="4"/>
        <item x="1"/>
        <item t="default"/>
      </items>
    </pivotField>
    <pivotField showAll="0"/>
    <pivotField numFmtId="14" showAll="0"/>
    <pivotField numFmtId="14" showAll="0"/>
    <pivotField showAll="0"/>
    <pivotField showAll="0"/>
    <pivotField showAll="0"/>
    <pivotField showAll="0"/>
    <pivotField showAll="0"/>
    <pivotField dataField="1" showAll="0"/>
    <pivotField showAll="0"/>
    <pivotField axis="axisRow" showAll="0">
      <items count="6">
        <item x="3"/>
        <item x="1"/>
        <item x="4"/>
        <item x="0"/>
        <item x="2"/>
        <item t="default"/>
      </items>
    </pivotField>
    <pivotField showAll="0"/>
  </pivotFields>
  <rowFields count="1">
    <field x="16"/>
  </rowFields>
  <rowItems count="6">
    <i>
      <x/>
    </i>
    <i>
      <x v="1"/>
    </i>
    <i>
      <x v="2"/>
    </i>
    <i>
      <x v="3"/>
    </i>
    <i>
      <x v="4"/>
    </i>
    <i t="grand">
      <x/>
    </i>
  </rowItems>
  <colItems count="1">
    <i/>
  </colItems>
  <dataFields count="1">
    <dataField name="Average of Total_Bill" fld="14" subtotal="average" baseField="0" baseItem="0" numFmtId="164"/>
  </dataField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 chart="0" format="3">
      <pivotArea type="data" outline="0" fieldPosition="0">
        <references count="2">
          <reference field="4294967294" count="1" selected="0">
            <x v="0"/>
          </reference>
          <reference field="16" count="1" selected="0">
            <x v="2"/>
          </reference>
        </references>
      </pivotArea>
    </chartFormat>
    <chartFormat chart="0" format="4">
      <pivotArea type="data" outline="0" fieldPosition="0">
        <references count="2">
          <reference field="4294967294" count="1" selected="0">
            <x v="0"/>
          </reference>
          <reference field="16" count="1" selected="0">
            <x v="3"/>
          </reference>
        </references>
      </pivotArea>
    </chartFormat>
    <chartFormat chart="0" format="5">
      <pivotArea type="data" outline="0" fieldPosition="0">
        <references count="2">
          <reference field="4294967294" count="1" selected="0">
            <x v="0"/>
          </reference>
          <reference field="16" count="1" selected="0">
            <x v="4"/>
          </reference>
        </references>
      </pivotArea>
    </chartFormat>
    <chartFormat chart="1" format="6" series="1">
      <pivotArea type="data" outline="0" fieldPosition="0">
        <references count="1">
          <reference field="4294967294" count="1" selected="0">
            <x v="0"/>
          </reference>
        </references>
      </pivotArea>
    </chartFormat>
    <chartFormat chart="1" format="7">
      <pivotArea type="data" outline="0" fieldPosition="0">
        <references count="2">
          <reference field="4294967294" count="1" selected="0">
            <x v="0"/>
          </reference>
          <reference field="16" count="1" selected="0">
            <x v="0"/>
          </reference>
        </references>
      </pivotArea>
    </chartFormat>
    <chartFormat chart="1" format="8">
      <pivotArea type="data" outline="0" fieldPosition="0">
        <references count="2">
          <reference field="4294967294" count="1" selected="0">
            <x v="0"/>
          </reference>
          <reference field="16" count="1" selected="0">
            <x v="1"/>
          </reference>
        </references>
      </pivotArea>
    </chartFormat>
    <chartFormat chart="1" format="9">
      <pivotArea type="data" outline="0" fieldPosition="0">
        <references count="2">
          <reference field="4294967294" count="1" selected="0">
            <x v="0"/>
          </reference>
          <reference field="16" count="1" selected="0">
            <x v="2"/>
          </reference>
        </references>
      </pivotArea>
    </chartFormat>
    <chartFormat chart="1" format="10">
      <pivotArea type="data" outline="0" fieldPosition="0">
        <references count="2">
          <reference field="4294967294" count="1" selected="0">
            <x v="0"/>
          </reference>
          <reference field="16" count="1" selected="0">
            <x v="3"/>
          </reference>
        </references>
      </pivotArea>
    </chartFormat>
    <chartFormat chart="1" format="11">
      <pivotArea type="data" outline="0" fieldPosition="0">
        <references count="2">
          <reference field="4294967294" count="1" selected="0">
            <x v="0"/>
          </reference>
          <reference field="16" count="1" selected="0">
            <x v="4"/>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16" count="1" selected="0">
            <x v="0"/>
          </reference>
        </references>
      </pivotArea>
    </chartFormat>
    <chartFormat chart="2" format="14">
      <pivotArea type="data" outline="0" fieldPosition="0">
        <references count="2">
          <reference field="4294967294" count="1" selected="0">
            <x v="0"/>
          </reference>
          <reference field="16" count="1" selected="0">
            <x v="1"/>
          </reference>
        </references>
      </pivotArea>
    </chartFormat>
    <chartFormat chart="2" format="15">
      <pivotArea type="data" outline="0" fieldPosition="0">
        <references count="2">
          <reference field="4294967294" count="1" selected="0">
            <x v="0"/>
          </reference>
          <reference field="16" count="1" selected="0">
            <x v="2"/>
          </reference>
        </references>
      </pivotArea>
    </chartFormat>
    <chartFormat chart="2" format="16">
      <pivotArea type="data" outline="0" fieldPosition="0">
        <references count="2">
          <reference field="4294967294" count="1" selected="0">
            <x v="0"/>
          </reference>
          <reference field="16" count="1" selected="0">
            <x v="3"/>
          </reference>
        </references>
      </pivotArea>
    </chartFormat>
    <chartFormat chart="2" format="17">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400735-2D8A-41A2-BC8F-AD93A872E94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pivotFields count="18">
    <pivotField showAll="0"/>
    <pivotField showAll="0"/>
    <pivotField showAll="0"/>
    <pivotField showAll="0"/>
    <pivotField axis="axisRow" showAll="0">
      <items count="7">
        <item x="5"/>
        <item x="3"/>
        <item x="1"/>
        <item x="4"/>
        <item x="0"/>
        <item x="2"/>
        <item t="default"/>
      </items>
    </pivotField>
    <pivotField showAll="0"/>
    <pivotField showAll="0"/>
    <pivotField numFmtId="14" showAll="0"/>
    <pivotField numFmtId="14" showAll="0"/>
    <pivotField showAll="0"/>
    <pivotField showAll="0"/>
    <pivotField showAll="0"/>
    <pivotField showAll="0"/>
    <pivotField showAll="0"/>
    <pivotField dataField="1" showAll="0"/>
    <pivotField showAll="0"/>
    <pivotField showAll="0"/>
    <pivotField showAll="0"/>
  </pivotFields>
  <rowFields count="1">
    <field x="4"/>
  </rowFields>
  <rowItems count="7">
    <i>
      <x/>
    </i>
    <i>
      <x v="1"/>
    </i>
    <i>
      <x v="2"/>
    </i>
    <i>
      <x v="3"/>
    </i>
    <i>
      <x v="4"/>
    </i>
    <i>
      <x v="5"/>
    </i>
    <i t="grand">
      <x/>
    </i>
  </rowItems>
  <colItems count="1">
    <i/>
  </colItems>
  <dataFields count="1">
    <dataField name="Sum of Total_Bill" fld="14"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6000000}" name="PivotTable8"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1:B3" firstHeaderRow="1" firstDataRow="2" firstDataCol="0"/>
  <pivotFields count="18">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items count="7">
        <item x="5"/>
        <item x="3"/>
        <item x="1"/>
        <item x="4"/>
        <item x="0"/>
        <item x="2"/>
        <item t="default"/>
      </items>
    </pivotField>
    <pivotField showAll="0"/>
    <pivotField showAll="0"/>
    <pivotField numFmtId="14" showAll="0"/>
    <pivotField numFmtId="14" showAll="0"/>
    <pivotField showAll="0"/>
    <pivotField dataField="1" showAll="0">
      <items count="20">
        <item x="14"/>
        <item x="9"/>
        <item x="18"/>
        <item x="2"/>
        <item x="13"/>
        <item x="12"/>
        <item x="17"/>
        <item x="3"/>
        <item x="11"/>
        <item x="1"/>
        <item x="10"/>
        <item x="8"/>
        <item x="7"/>
        <item x="5"/>
        <item x="6"/>
        <item x="16"/>
        <item x="0"/>
        <item x="4"/>
        <item x="15"/>
        <item t="default"/>
      </items>
    </pivotField>
    <pivotField showAll="0"/>
    <pivotField showAll="0"/>
    <pivotField showAll="0"/>
    <pivotField dataField="1" showAll="0">
      <items count="501">
        <item x="181"/>
        <item x="211"/>
        <item x="34"/>
        <item x="470"/>
        <item x="236"/>
        <item x="150"/>
        <item x="194"/>
        <item x="156"/>
        <item x="117"/>
        <item x="417"/>
        <item x="115"/>
        <item x="275"/>
        <item x="445"/>
        <item x="18"/>
        <item x="132"/>
        <item x="364"/>
        <item x="210"/>
        <item x="447"/>
        <item x="299"/>
        <item x="435"/>
        <item x="335"/>
        <item x="342"/>
        <item x="395"/>
        <item x="175"/>
        <item x="206"/>
        <item x="59"/>
        <item x="103"/>
        <item x="419"/>
        <item x="301"/>
        <item x="241"/>
        <item x="234"/>
        <item x="404"/>
        <item x="125"/>
        <item x="473"/>
        <item x="309"/>
        <item x="124"/>
        <item x="70"/>
        <item x="277"/>
        <item x="401"/>
        <item x="182"/>
        <item x="107"/>
        <item x="86"/>
        <item x="371"/>
        <item x="431"/>
        <item x="73"/>
        <item x="407"/>
        <item x="153"/>
        <item x="179"/>
        <item x="296"/>
        <item x="158"/>
        <item x="332"/>
        <item x="152"/>
        <item x="65"/>
        <item x="333"/>
        <item x="289"/>
        <item x="259"/>
        <item x="405"/>
        <item x="57"/>
        <item x="195"/>
        <item x="56"/>
        <item x="304"/>
        <item x="54"/>
        <item x="251"/>
        <item x="366"/>
        <item x="254"/>
        <item x="255"/>
        <item x="126"/>
        <item x="399"/>
        <item x="425"/>
        <item x="350"/>
        <item x="118"/>
        <item x="365"/>
        <item x="7"/>
        <item x="19"/>
        <item x="487"/>
        <item x="49"/>
        <item x="165"/>
        <item x="229"/>
        <item x="11"/>
        <item x="397"/>
        <item x="40"/>
        <item x="149"/>
        <item x="300"/>
        <item x="120"/>
        <item x="225"/>
        <item x="270"/>
        <item x="391"/>
        <item x="161"/>
        <item x="279"/>
        <item x="22"/>
        <item x="494"/>
        <item x="226"/>
        <item x="178"/>
        <item x="413"/>
        <item x="441"/>
        <item x="448"/>
        <item x="36"/>
        <item x="20"/>
        <item x="291"/>
        <item x="393"/>
        <item x="418"/>
        <item x="75"/>
        <item x="416"/>
        <item x="30"/>
        <item x="424"/>
        <item x="9"/>
        <item x="278"/>
        <item x="77"/>
        <item x="474"/>
        <item x="106"/>
        <item x="328"/>
        <item x="166"/>
        <item x="438"/>
        <item x="176"/>
        <item x="272"/>
        <item x="479"/>
        <item x="139"/>
        <item x="459"/>
        <item x="339"/>
        <item x="256"/>
        <item x="154"/>
        <item x="266"/>
        <item x="496"/>
        <item x="160"/>
        <item x="25"/>
        <item x="68"/>
        <item x="247"/>
        <item x="486"/>
        <item x="146"/>
        <item x="129"/>
        <item x="409"/>
        <item x="248"/>
        <item x="388"/>
        <item x="89"/>
        <item x="305"/>
        <item x="374"/>
        <item x="421"/>
        <item x="329"/>
        <item x="314"/>
        <item x="97"/>
        <item x="386"/>
        <item x="436"/>
        <item x="119"/>
        <item x="249"/>
        <item x="488"/>
        <item x="348"/>
        <item x="355"/>
        <item x="227"/>
        <item x="412"/>
        <item x="33"/>
        <item x="168"/>
        <item x="468"/>
        <item x="345"/>
        <item x="493"/>
        <item x="326"/>
        <item x="1"/>
        <item x="173"/>
        <item x="352"/>
        <item x="37"/>
        <item x="322"/>
        <item x="112"/>
        <item x="452"/>
        <item x="358"/>
        <item x="400"/>
        <item x="324"/>
        <item x="113"/>
        <item x="336"/>
        <item x="430"/>
        <item x="99"/>
        <item x="361"/>
        <item x="385"/>
        <item x="209"/>
        <item x="151"/>
        <item x="131"/>
        <item x="235"/>
        <item x="497"/>
        <item x="403"/>
        <item x="485"/>
        <item x="427"/>
        <item x="469"/>
        <item x="454"/>
        <item x="484"/>
        <item x="264"/>
        <item x="127"/>
        <item x="12"/>
        <item x="285"/>
        <item x="268"/>
        <item x="144"/>
        <item x="216"/>
        <item x="207"/>
        <item x="429"/>
        <item x="312"/>
        <item x="237"/>
        <item x="186"/>
        <item x="203"/>
        <item x="27"/>
        <item x="308"/>
        <item x="423"/>
        <item x="85"/>
        <item x="434"/>
        <item x="82"/>
        <item x="269"/>
        <item x="498"/>
        <item x="79"/>
        <item x="433"/>
        <item x="136"/>
        <item x="420"/>
        <item x="14"/>
        <item x="187"/>
        <item x="219"/>
        <item x="378"/>
        <item x="42"/>
        <item x="185"/>
        <item x="177"/>
        <item x="245"/>
        <item x="76"/>
        <item x="197"/>
        <item x="384"/>
        <item x="26"/>
        <item x="90"/>
        <item x="24"/>
        <item x="228"/>
        <item x="422"/>
        <item x="456"/>
        <item x="367"/>
        <item x="190"/>
        <item x="257"/>
        <item x="130"/>
        <item x="253"/>
        <item x="123"/>
        <item x="330"/>
        <item x="5"/>
        <item x="471"/>
        <item x="224"/>
        <item x="292"/>
        <item x="273"/>
        <item x="376"/>
        <item x="383"/>
        <item x="306"/>
        <item x="201"/>
        <item x="8"/>
        <item x="410"/>
        <item x="274"/>
        <item x="246"/>
        <item x="88"/>
        <item x="32"/>
        <item x="64"/>
        <item x="159"/>
        <item x="58"/>
        <item x="52"/>
        <item x="287"/>
        <item x="481"/>
        <item x="101"/>
        <item x="252"/>
        <item x="347"/>
        <item x="87"/>
        <item x="164"/>
        <item x="265"/>
        <item x="91"/>
        <item x="51"/>
        <item x="381"/>
        <item x="84"/>
        <item x="108"/>
        <item x="94"/>
        <item x="450"/>
        <item x="387"/>
        <item x="180"/>
        <item x="16"/>
        <item x="443"/>
        <item x="133"/>
        <item x="110"/>
        <item x="121"/>
        <item x="344"/>
        <item x="331"/>
        <item x="327"/>
        <item x="135"/>
        <item x="377"/>
        <item x="184"/>
        <item x="196"/>
        <item x="232"/>
        <item x="439"/>
        <item x="105"/>
        <item x="414"/>
        <item x="169"/>
        <item x="53"/>
        <item x="50"/>
        <item x="343"/>
        <item x="298"/>
        <item x="316"/>
        <item x="321"/>
        <item x="48"/>
        <item x="320"/>
        <item x="458"/>
        <item x="457"/>
        <item x="323"/>
        <item x="2"/>
        <item x="250"/>
        <item x="317"/>
        <item x="221"/>
        <item x="310"/>
        <item x="100"/>
        <item x="490"/>
        <item x="294"/>
        <item x="482"/>
        <item x="380"/>
        <item x="142"/>
        <item x="239"/>
        <item x="192"/>
        <item x="83"/>
        <item x="43"/>
        <item x="63"/>
        <item x="453"/>
        <item x="307"/>
        <item x="394"/>
        <item x="338"/>
        <item x="260"/>
        <item x="463"/>
        <item x="62"/>
        <item x="426"/>
        <item x="398"/>
        <item x="183"/>
        <item x="318"/>
        <item x="382"/>
        <item x="104"/>
        <item x="315"/>
        <item x="214"/>
        <item x="217"/>
        <item x="284"/>
        <item x="373"/>
        <item x="41"/>
        <item x="475"/>
        <item x="155"/>
        <item x="61"/>
        <item x="109"/>
        <item x="28"/>
        <item x="39"/>
        <item x="362"/>
        <item x="23"/>
        <item x="476"/>
        <item x="0"/>
        <item x="199"/>
        <item x="428"/>
        <item x="302"/>
        <item x="13"/>
        <item x="492"/>
        <item x="238"/>
        <item x="267"/>
        <item x="363"/>
        <item x="311"/>
        <item x="303"/>
        <item x="44"/>
        <item x="408"/>
        <item x="198"/>
        <item x="134"/>
        <item x="205"/>
        <item x="369"/>
        <item x="74"/>
        <item x="188"/>
        <item x="222"/>
        <item x="35"/>
        <item x="122"/>
        <item x="379"/>
        <item x="263"/>
        <item x="472"/>
        <item x="45"/>
        <item x="499"/>
        <item x="466"/>
        <item x="464"/>
        <item x="368"/>
        <item x="325"/>
        <item x="202"/>
        <item x="477"/>
        <item x="98"/>
        <item x="138"/>
        <item x="67"/>
        <item x="167"/>
        <item x="21"/>
        <item x="442"/>
        <item x="271"/>
        <item x="240"/>
        <item x="220"/>
        <item x="231"/>
        <item x="258"/>
        <item x="92"/>
        <item x="200"/>
        <item x="462"/>
        <item x="341"/>
        <item x="489"/>
        <item x="29"/>
        <item x="491"/>
        <item x="215"/>
        <item x="372"/>
        <item x="276"/>
        <item x="356"/>
        <item x="244"/>
        <item x="204"/>
        <item x="354"/>
        <item x="313"/>
        <item x="72"/>
        <item x="346"/>
        <item x="396"/>
        <item x="349"/>
        <item x="467"/>
        <item x="208"/>
        <item x="334"/>
        <item x="31"/>
        <item x="297"/>
        <item x="411"/>
        <item x="392"/>
        <item x="293"/>
        <item x="483"/>
        <item x="47"/>
        <item x="66"/>
        <item x="193"/>
        <item x="137"/>
        <item x="170"/>
        <item x="242"/>
        <item x="78"/>
        <item x="17"/>
        <item x="440"/>
        <item x="283"/>
        <item x="38"/>
        <item x="114"/>
        <item x="10"/>
        <item x="286"/>
        <item x="340"/>
        <item x="337"/>
        <item x="6"/>
        <item x="174"/>
        <item x="415"/>
        <item x="243"/>
        <item x="141"/>
        <item x="55"/>
        <item x="495"/>
        <item x="290"/>
        <item x="230"/>
        <item x="189"/>
        <item x="370"/>
        <item x="69"/>
        <item x="148"/>
        <item x="295"/>
        <item x="449"/>
        <item x="71"/>
        <item x="465"/>
        <item x="357"/>
        <item x="233"/>
        <item x="359"/>
        <item x="351"/>
        <item x="15"/>
        <item x="223"/>
        <item x="96"/>
        <item x="60"/>
        <item x="288"/>
        <item x="390"/>
        <item x="95"/>
        <item x="191"/>
        <item x="102"/>
        <item x="111"/>
        <item x="280"/>
        <item x="116"/>
        <item x="80"/>
        <item x="3"/>
        <item x="444"/>
        <item x="213"/>
        <item x="319"/>
        <item x="218"/>
        <item x="162"/>
        <item x="46"/>
        <item x="143"/>
        <item x="163"/>
        <item x="140"/>
        <item x="81"/>
        <item x="261"/>
        <item x="157"/>
        <item x="478"/>
        <item x="480"/>
        <item x="262"/>
        <item x="93"/>
        <item x="437"/>
        <item x="451"/>
        <item x="145"/>
        <item x="402"/>
        <item x="212"/>
        <item x="375"/>
        <item x="360"/>
        <item x="432"/>
        <item x="461"/>
        <item x="446"/>
        <item x="4"/>
        <item x="455"/>
        <item x="147"/>
        <item x="171"/>
        <item x="460"/>
        <item x="406"/>
        <item x="281"/>
        <item x="128"/>
        <item x="353"/>
        <item x="172"/>
        <item x="282"/>
        <item x="389"/>
        <item t="default"/>
      </items>
    </pivotField>
    <pivotField showAll="0"/>
    <pivotField showAll="0"/>
    <pivotField showAll="0"/>
  </pivotFields>
  <rowItems count="1">
    <i/>
  </rowItems>
  <colFields count="1">
    <field x="-2"/>
  </colFields>
  <colItems count="2">
    <i>
      <x/>
    </i>
    <i i="1">
      <x v="1"/>
    </i>
  </colItems>
  <dataFields count="2">
    <dataField name="Sum of Total_Bill" fld="14" baseField="0" baseItem="0"/>
    <dataField name="Average of Length_of_Stay_Days" fld="10" subtotal="average" baseField="0" baseItem="0" numFmtId="164"/>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9000000}" name="PivotTable11"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D6:E11" firstHeaderRow="1" firstDataRow="1" firstDataCol="1"/>
  <pivotFields count="18">
    <pivotField showAll="0"/>
    <pivotField showAll="0"/>
    <pivotField showAll="0"/>
    <pivotField showAll="0"/>
    <pivotField showAll="0">
      <items count="7">
        <item x="5"/>
        <item x="3"/>
        <item x="1"/>
        <item x="4"/>
        <item x="0"/>
        <item x="2"/>
        <item t="default"/>
      </items>
    </pivotField>
    <pivotField showAll="0"/>
    <pivotField showAll="0"/>
    <pivotField numFmtId="14" showAll="0"/>
    <pivotField numFmtId="14" showAll="0"/>
    <pivotField showAll="0">
      <items count="5">
        <item x="1"/>
        <item x="3"/>
        <item x="2"/>
        <item x="0"/>
        <item t="default"/>
      </items>
    </pivotField>
    <pivotField showAll="0"/>
    <pivotField showAll="0"/>
    <pivotField showAll="0"/>
    <pivotField showAll="0"/>
    <pivotField dataField="1" showAll="0"/>
    <pivotField axis="axisRow" showAll="0">
      <items count="5">
        <item x="0"/>
        <item x="2"/>
        <item x="3"/>
        <item x="1"/>
        <item t="default"/>
      </items>
    </pivotField>
    <pivotField showAll="0"/>
    <pivotField showAll="0"/>
  </pivotFields>
  <rowFields count="1">
    <field x="15"/>
  </rowFields>
  <rowItems count="5">
    <i>
      <x/>
    </i>
    <i>
      <x v="1"/>
    </i>
    <i>
      <x v="2"/>
    </i>
    <i>
      <x v="3"/>
    </i>
    <i t="grand">
      <x/>
    </i>
  </rowItems>
  <colItems count="1">
    <i/>
  </colItems>
  <dataFields count="1">
    <dataField name="Sum of Total_Bill" fld="14"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900-000008000000}" name="PivotTable10"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E3:E4" firstHeaderRow="1" firstDataRow="1" firstDataCol="0"/>
  <pivotFields count="18">
    <pivotField dataField="1" showAll="0"/>
    <pivotField showAll="0"/>
    <pivotField showAll="0"/>
    <pivotField showAll="0"/>
    <pivotField showAll="0">
      <items count="7">
        <item x="5"/>
        <item x="3"/>
        <item x="1"/>
        <item x="4"/>
        <item x="0"/>
        <item x="2"/>
        <item t="default"/>
      </items>
    </pivotField>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Patient_ID"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900-000007000000}" name="PivotTable9"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D3:D4" firstHeaderRow="1" firstDataRow="1" firstDataCol="0" rowPageCount="1" colPageCount="1"/>
  <pivotFields count="18">
    <pivotField showAll="0"/>
    <pivotField showAll="0"/>
    <pivotField showAll="0"/>
    <pivotField showAll="0"/>
    <pivotField showAll="0">
      <items count="7">
        <item x="5"/>
        <item x="3"/>
        <item x="1"/>
        <item x="4"/>
        <item x="0"/>
        <item x="2"/>
        <item t="default"/>
      </items>
    </pivotField>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Page" dataField="1" multipleItemSelectionAllowed="1" showAll="0">
      <items count="5">
        <item h="1" x="0"/>
        <item x="3"/>
        <item h="1" x="2"/>
        <item h="1" x="1"/>
        <item t="default"/>
      </items>
    </pivotField>
  </pivotFields>
  <rowItems count="1">
    <i/>
  </rowItems>
  <colItems count="1">
    <i/>
  </colItems>
  <pageFields count="1">
    <pageField fld="17" hier="-1"/>
  </pageFields>
  <dataFields count="1">
    <dataField name="Count of Patient_Status" fld="17"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0071C0F-7E5C-4D2F-B723-2D2A71AB9593}" sourceName="Department">
  <pivotTables>
    <pivotTable tabId="7" name="PivotTable6"/>
    <pivotTable tabId="10" name="PivotTable10"/>
    <pivotTable tabId="10" name="PivotTable11"/>
    <pivotTable tabId="10" name="PivotTable8"/>
    <pivotTable tabId="10" name="PivotTable9"/>
    <pivotTable tabId="2" name="PivotTable1"/>
    <pivotTable tabId="3" name="PivotTable2"/>
    <pivotTable tabId="4" name="PivotTable3"/>
    <pivotTable tabId="5" name="PivotTable4"/>
    <pivotTable tabId="6" name="PivotTable5"/>
  </pivotTables>
  <data>
    <tabular pivotCacheId="1">
      <items count="6">
        <i x="5" s="1"/>
        <i x="3" s="1"/>
        <i x="1" s="1"/>
        <i x="4"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B78D828-E65D-45B1-AB9B-97F44D8D6A40}"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20133B0-FA49-4747-87A9-8D3FB9559E9A}"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501" totalsRowShown="0" headerRowDxfId="2">
  <autoFilter ref="A1:R501" xr:uid="{00000000-0009-0000-0100-000001000000}"/>
  <tableColumns count="18">
    <tableColumn id="1" xr3:uid="{00000000-0010-0000-0000-000001000000}" name="Patient_ID"/>
    <tableColumn id="2" xr3:uid="{00000000-0010-0000-0000-000002000000}" name="Patient_Name"/>
    <tableColumn id="3" xr3:uid="{00000000-0010-0000-0000-000003000000}" name="Age"/>
    <tableColumn id="4" xr3:uid="{00000000-0010-0000-0000-000004000000}" name="Gender"/>
    <tableColumn id="5" xr3:uid="{00000000-0010-0000-0000-000005000000}" name="Department"/>
    <tableColumn id="6" xr3:uid="{00000000-0010-0000-0000-000006000000}" name="Doctor_Name"/>
    <tableColumn id="7" xr3:uid="{00000000-0010-0000-0000-000007000000}" name="Admission_Type"/>
    <tableColumn id="8" xr3:uid="{00000000-0010-0000-0000-000008000000}" name="Admission_Date" dataDxfId="1"/>
    <tableColumn id="9" xr3:uid="{00000000-0010-0000-0000-000009000000}" name="Discharge_Date" dataDxfId="0"/>
    <tableColumn id="10" xr3:uid="{00000000-0010-0000-0000-00000A000000}" name="Room_Type"/>
    <tableColumn id="11" xr3:uid="{00000000-0010-0000-0000-00000B000000}" name="Length_of_Stay_Days"/>
    <tableColumn id="12" xr3:uid="{00000000-0010-0000-0000-00000C000000}" name="Treatment_Cost"/>
    <tableColumn id="13" xr3:uid="{00000000-0010-0000-0000-00000D000000}" name="Medicine_Cost"/>
    <tableColumn id="14" xr3:uid="{00000000-0010-0000-0000-00000E000000}" name="Lab_Test_Cost"/>
    <tableColumn id="15" xr3:uid="{00000000-0010-0000-0000-00000F000000}" name="Total_Bill"/>
    <tableColumn id="16" xr3:uid="{00000000-0010-0000-0000-000010000000}" name="Payment_Mode"/>
    <tableColumn id="17" xr3:uid="{00000000-0010-0000-0000-000011000000}" name="Insurance_Provider"/>
    <tableColumn id="18" xr3:uid="{00000000-0010-0000-0000-000012000000}" name="Patient_Statu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rinterSettings" Target="../printerSettings/printerSettings1.bin"/><Relationship Id="rId1" Type="http://schemas.openxmlformats.org/officeDocument/2006/relationships/pivotTable" Target="../pivotTables/pivotTable5.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10"/>
  <sheetViews>
    <sheetView workbookViewId="0">
      <selection activeCell="L12" sqref="L12"/>
    </sheetView>
  </sheetViews>
  <sheetFormatPr defaultRowHeight="15" x14ac:dyDescent="0.25"/>
  <cols>
    <col min="1" max="1" width="16.85546875" bestFit="1" customWidth="1"/>
    <col min="2" max="2" width="16" bestFit="1" customWidth="1"/>
  </cols>
  <sheetData>
    <row r="2" spans="1:6" x14ac:dyDescent="0.25">
      <c r="F2" t="s">
        <v>1052</v>
      </c>
    </row>
    <row r="3" spans="1:6" x14ac:dyDescent="0.25">
      <c r="A3" s="3" t="s">
        <v>1053</v>
      </c>
      <c r="B3" t="s">
        <v>1055</v>
      </c>
    </row>
    <row r="4" spans="1:6" x14ac:dyDescent="0.25">
      <c r="A4" s="4" t="s">
        <v>30</v>
      </c>
      <c r="B4" s="5">
        <v>11626165</v>
      </c>
    </row>
    <row r="5" spans="1:6" x14ac:dyDescent="0.25">
      <c r="A5" s="4" t="s">
        <v>69</v>
      </c>
      <c r="B5" s="5">
        <v>10890019</v>
      </c>
    </row>
    <row r="6" spans="1:6" x14ac:dyDescent="0.25">
      <c r="A6" s="4" t="s">
        <v>21</v>
      </c>
      <c r="B6" s="5">
        <v>10674353</v>
      </c>
    </row>
    <row r="7" spans="1:6" x14ac:dyDescent="0.25">
      <c r="A7" s="4" t="s">
        <v>50</v>
      </c>
      <c r="B7" s="5">
        <v>10595332</v>
      </c>
    </row>
    <row r="8" spans="1:6" x14ac:dyDescent="0.25">
      <c r="A8" s="4" t="s">
        <v>54</v>
      </c>
      <c r="B8" s="5">
        <v>10391655</v>
      </c>
    </row>
    <row r="9" spans="1:6" x14ac:dyDescent="0.25">
      <c r="A9" s="4" t="s">
        <v>45</v>
      </c>
      <c r="B9" s="5">
        <v>9770396</v>
      </c>
    </row>
    <row r="10" spans="1:6" x14ac:dyDescent="0.25">
      <c r="A10" s="4" t="s">
        <v>1054</v>
      </c>
      <c r="B10" s="5">
        <v>63947920</v>
      </c>
    </row>
  </sheetData>
  <customSheetViews>
    <customSheetView guid="{BDCBAC59-900C-4EF0-B76E-C74E8DFB4797}">
      <selection activeCell="C11" sqref="C11"/>
      <pageMargins left="0.7" right="0.7" top="0.75" bottom="0.75" header="0.3" footer="0.3"/>
    </customSheetView>
  </customSheetView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D8"/>
  <sheetViews>
    <sheetView workbookViewId="0">
      <selection activeCell="B14" sqref="B14"/>
    </sheetView>
  </sheetViews>
  <sheetFormatPr defaultRowHeight="15" x14ac:dyDescent="0.25"/>
  <cols>
    <col min="1" max="1" width="13.140625" bestFit="1" customWidth="1"/>
    <col min="2" max="2" width="30.42578125" bestFit="1" customWidth="1"/>
  </cols>
  <sheetData>
    <row r="3" spans="1:4" x14ac:dyDescent="0.25">
      <c r="A3" s="3" t="s">
        <v>1053</v>
      </c>
      <c r="B3" t="s">
        <v>1057</v>
      </c>
      <c r="D3" t="s">
        <v>1056</v>
      </c>
    </row>
    <row r="4" spans="1:4" x14ac:dyDescent="0.25">
      <c r="A4" s="4" t="s">
        <v>32</v>
      </c>
      <c r="B4" s="6">
        <v>9.7519379844961236</v>
      </c>
    </row>
    <row r="5" spans="1:4" x14ac:dyDescent="0.25">
      <c r="A5" s="4" t="s">
        <v>57</v>
      </c>
      <c r="B5" s="6">
        <v>10.452173913043477</v>
      </c>
    </row>
    <row r="6" spans="1:4" x14ac:dyDescent="0.25">
      <c r="A6" s="4" t="s">
        <v>40</v>
      </c>
      <c r="B6" s="6">
        <v>10.021428571428572</v>
      </c>
    </row>
    <row r="7" spans="1:4" x14ac:dyDescent="0.25">
      <c r="A7" s="4" t="s">
        <v>24</v>
      </c>
      <c r="B7" s="6">
        <v>10.336206896551724</v>
      </c>
    </row>
    <row r="8" spans="1:4" x14ac:dyDescent="0.25">
      <c r="A8" s="4" t="s">
        <v>1054</v>
      </c>
      <c r="B8" s="6">
        <v>10.124000000000001</v>
      </c>
    </row>
  </sheetData>
  <customSheetViews>
    <customSheetView guid="{BDCBAC59-900C-4EF0-B76E-C74E8DFB4797}">
      <selection activeCell="B5" sqref="A3:B8"/>
      <pageMargins left="0.7" right="0.7" top="0.75" bottom="0.75" header="0.3" footer="0.3"/>
    </customSheetView>
  </customSheetView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10"/>
  <sheetViews>
    <sheetView workbookViewId="0">
      <selection activeCell="B13" sqref="B13"/>
    </sheetView>
  </sheetViews>
  <sheetFormatPr defaultRowHeight="15" x14ac:dyDescent="0.25"/>
  <cols>
    <col min="1" max="1" width="13.140625" bestFit="1" customWidth="1"/>
    <col min="2" max="2" width="16" bestFit="1" customWidth="1"/>
  </cols>
  <sheetData>
    <row r="3" spans="1:4" x14ac:dyDescent="0.25">
      <c r="A3" s="3" t="s">
        <v>1053</v>
      </c>
      <c r="B3" t="s">
        <v>1055</v>
      </c>
      <c r="D3" t="s">
        <v>1058</v>
      </c>
    </row>
    <row r="4" spans="1:4" x14ac:dyDescent="0.25">
      <c r="A4" s="4" t="s">
        <v>75</v>
      </c>
      <c r="B4" s="7">
        <v>9841975</v>
      </c>
    </row>
    <row r="5" spans="1:4" x14ac:dyDescent="0.25">
      <c r="A5" s="4" t="s">
        <v>38</v>
      </c>
      <c r="B5" s="7">
        <v>11337381</v>
      </c>
    </row>
    <row r="6" spans="1:4" x14ac:dyDescent="0.25">
      <c r="A6" s="4" t="s">
        <v>22</v>
      </c>
      <c r="B6" s="7">
        <v>11089570</v>
      </c>
    </row>
    <row r="7" spans="1:4" x14ac:dyDescent="0.25">
      <c r="A7" s="4" t="s">
        <v>46</v>
      </c>
      <c r="B7" s="7">
        <v>10589294</v>
      </c>
    </row>
    <row r="8" spans="1:4" x14ac:dyDescent="0.25">
      <c r="A8" s="4" t="s">
        <v>66</v>
      </c>
      <c r="B8" s="7">
        <v>11937073</v>
      </c>
    </row>
    <row r="9" spans="1:4" x14ac:dyDescent="0.25">
      <c r="A9" s="4" t="s">
        <v>31</v>
      </c>
      <c r="B9" s="7">
        <v>9152627</v>
      </c>
    </row>
    <row r="10" spans="1:4" x14ac:dyDescent="0.25">
      <c r="A10" s="4" t="s">
        <v>1054</v>
      </c>
      <c r="B10" s="7">
        <v>63947920</v>
      </c>
    </row>
  </sheetData>
  <customSheetViews>
    <customSheetView guid="{BDCBAC59-900C-4EF0-B76E-C74E8DFB4797}">
      <selection activeCell="E21" sqref="E21"/>
      <pageMargins left="0.7" right="0.7" top="0.75" bottom="0.75" header="0.3" footer="0.3"/>
    </customSheetView>
  </customSheetView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F8"/>
  <sheetViews>
    <sheetView workbookViewId="0">
      <selection activeCell="B16" sqref="B16"/>
    </sheetView>
  </sheetViews>
  <sheetFormatPr defaultRowHeight="15" x14ac:dyDescent="0.25"/>
  <cols>
    <col min="1" max="1" width="13.140625" bestFit="1" customWidth="1"/>
    <col min="2" max="2" width="16" bestFit="1" customWidth="1"/>
  </cols>
  <sheetData>
    <row r="3" spans="1:6" x14ac:dyDescent="0.25">
      <c r="A3" s="3" t="s">
        <v>1053</v>
      </c>
      <c r="B3" t="s">
        <v>1055</v>
      </c>
    </row>
    <row r="4" spans="1:6" x14ac:dyDescent="0.25">
      <c r="A4" s="4" t="s">
        <v>25</v>
      </c>
      <c r="B4" s="5">
        <v>17082133</v>
      </c>
      <c r="F4" t="s">
        <v>1059</v>
      </c>
    </row>
    <row r="5" spans="1:6" x14ac:dyDescent="0.25">
      <c r="A5" s="4" t="s">
        <v>51</v>
      </c>
      <c r="B5" s="5">
        <v>14909504</v>
      </c>
    </row>
    <row r="6" spans="1:6" x14ac:dyDescent="0.25">
      <c r="A6" s="4" t="s">
        <v>63</v>
      </c>
      <c r="B6" s="5">
        <v>17348861</v>
      </c>
    </row>
    <row r="7" spans="1:6" x14ac:dyDescent="0.25">
      <c r="A7" s="4" t="s">
        <v>41</v>
      </c>
      <c r="B7" s="5">
        <v>14607422</v>
      </c>
    </row>
    <row r="8" spans="1:6" x14ac:dyDescent="0.25">
      <c r="A8" s="4" t="s">
        <v>1054</v>
      </c>
      <c r="B8" s="5">
        <v>63947920</v>
      </c>
    </row>
  </sheetData>
  <customSheetViews>
    <customSheetView guid="{BDCBAC59-900C-4EF0-B76E-C74E8DFB4797}">
      <selection activeCell="K17" sqref="K17"/>
      <pageMargins left="0.7" right="0.7" top="0.75" bottom="0.75" header="0.3" footer="0.3"/>
    </customSheetView>
  </customSheetView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
  <sheetViews>
    <sheetView workbookViewId="0">
      <selection activeCell="B4" sqref="B4"/>
    </sheetView>
  </sheetViews>
  <sheetFormatPr defaultRowHeight="15" x14ac:dyDescent="0.25"/>
  <cols>
    <col min="1" max="1" width="16.85546875" bestFit="1" customWidth="1"/>
    <col min="2" max="2" width="22.28515625" bestFit="1" customWidth="1"/>
  </cols>
  <sheetData>
    <row r="1" spans="1:5" x14ac:dyDescent="0.25">
      <c r="A1" s="3" t="s">
        <v>17</v>
      </c>
      <c r="B1" t="s">
        <v>70</v>
      </c>
    </row>
    <row r="3" spans="1:5" x14ac:dyDescent="0.25">
      <c r="A3" s="3" t="s">
        <v>1053</v>
      </c>
      <c r="B3" t="s">
        <v>1061</v>
      </c>
      <c r="E3" t="s">
        <v>1060</v>
      </c>
    </row>
    <row r="4" spans="1:5" x14ac:dyDescent="0.25">
      <c r="A4" s="4" t="s">
        <v>69</v>
      </c>
      <c r="B4" s="15">
        <v>0.17886178861788618</v>
      </c>
    </row>
    <row r="5" spans="1:5" x14ac:dyDescent="0.25">
      <c r="A5" s="4" t="s">
        <v>50</v>
      </c>
      <c r="B5" s="15">
        <v>0.14634146341463414</v>
      </c>
    </row>
    <row r="6" spans="1:5" x14ac:dyDescent="0.25">
      <c r="A6" s="4" t="s">
        <v>30</v>
      </c>
      <c r="B6" s="15">
        <v>0.21138211382113822</v>
      </c>
    </row>
    <row r="7" spans="1:5" x14ac:dyDescent="0.25">
      <c r="A7" s="4" t="s">
        <v>54</v>
      </c>
      <c r="B7" s="15">
        <v>8.943089430894309E-2</v>
      </c>
    </row>
    <row r="8" spans="1:5" x14ac:dyDescent="0.25">
      <c r="A8" s="4" t="s">
        <v>21</v>
      </c>
      <c r="B8" s="15">
        <v>0.17073170731707318</v>
      </c>
    </row>
    <row r="9" spans="1:5" x14ac:dyDescent="0.25">
      <c r="A9" s="4" t="s">
        <v>45</v>
      </c>
      <c r="B9" s="15">
        <v>0.2032520325203252</v>
      </c>
    </row>
    <row r="10" spans="1:5" x14ac:dyDescent="0.25">
      <c r="A10" s="4" t="s">
        <v>1054</v>
      </c>
      <c r="B10" s="15">
        <v>1</v>
      </c>
    </row>
  </sheetData>
  <customSheetViews>
    <customSheetView guid="{BDCBAC59-900C-4EF0-B76E-C74E8DFB4797}">
      <selection activeCell="B7" sqref="B7"/>
      <pageMargins left="0.7" right="0.7" top="0.75" bottom="0.75" header="0.3" footer="0.3"/>
      <pageSetup orientation="portrait" r:id="rId2"/>
    </customSheetView>
  </customSheetViews>
  <pageMargins left="0.7" right="0.7" top="0.75" bottom="0.75" header="0.3" footer="0.3"/>
  <pageSetup orientation="portrait" r:id="rId3"/>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9"/>
  <sheetViews>
    <sheetView workbookViewId="0">
      <selection activeCell="B7" sqref="B7"/>
    </sheetView>
  </sheetViews>
  <sheetFormatPr defaultRowHeight="15" x14ac:dyDescent="0.25"/>
  <cols>
    <col min="1" max="1" width="19.7109375" bestFit="1" customWidth="1"/>
    <col min="2" max="2" width="19.5703125" bestFit="1" customWidth="1"/>
  </cols>
  <sheetData>
    <row r="3" spans="1:5" x14ac:dyDescent="0.25">
      <c r="A3" s="3" t="s">
        <v>1053</v>
      </c>
      <c r="B3" t="s">
        <v>1063</v>
      </c>
      <c r="E3" t="s">
        <v>1062</v>
      </c>
    </row>
    <row r="4" spans="1:5" x14ac:dyDescent="0.25">
      <c r="A4" s="4" t="s">
        <v>58</v>
      </c>
      <c r="B4" s="6">
        <v>123512.61616161616</v>
      </c>
    </row>
    <row r="5" spans="1:5" x14ac:dyDescent="0.25">
      <c r="A5" s="4" t="s">
        <v>33</v>
      </c>
      <c r="B5" s="6">
        <v>126178.25</v>
      </c>
    </row>
    <row r="6" spans="1:5" x14ac:dyDescent="0.25">
      <c r="A6" s="4" t="s">
        <v>87</v>
      </c>
      <c r="B6" s="6">
        <v>127774.92307692308</v>
      </c>
    </row>
    <row r="7" spans="1:5" x14ac:dyDescent="0.25">
      <c r="A7" s="4" t="s">
        <v>26</v>
      </c>
      <c r="B7" s="6">
        <v>121623.12621359223</v>
      </c>
    </row>
    <row r="8" spans="1:5" x14ac:dyDescent="0.25">
      <c r="A8" s="4" t="s">
        <v>47</v>
      </c>
      <c r="B8" s="6">
        <v>139279.41071428571</v>
      </c>
    </row>
    <row r="9" spans="1:5" x14ac:dyDescent="0.25">
      <c r="A9" s="4" t="s">
        <v>1054</v>
      </c>
      <c r="B9" s="6">
        <v>127895.84</v>
      </c>
    </row>
  </sheetData>
  <customSheetViews>
    <customSheetView guid="{BDCBAC59-900C-4EF0-B76E-C74E8DFB4797}">
      <selection activeCell="B7" sqref="B7"/>
      <pageMargins left="0.7" right="0.7" top="0.75" bottom="0.75" header="0.3" footer="0.3"/>
    </customSheetView>
  </customSheetView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5ECEE-7A3D-4CC6-93C2-7372877572F1}">
  <dimension ref="A3:B10"/>
  <sheetViews>
    <sheetView workbookViewId="0">
      <selection activeCell="M15" sqref="M15"/>
    </sheetView>
  </sheetViews>
  <sheetFormatPr defaultRowHeight="15" x14ac:dyDescent="0.25"/>
  <cols>
    <col min="1" max="1" width="16.85546875" bestFit="1" customWidth="1"/>
    <col min="2" max="2" width="16" bestFit="1" customWidth="1"/>
  </cols>
  <sheetData>
    <row r="3" spans="1:2" x14ac:dyDescent="0.25">
      <c r="A3" s="3" t="s">
        <v>1053</v>
      </c>
      <c r="B3" t="s">
        <v>1055</v>
      </c>
    </row>
    <row r="4" spans="1:2" x14ac:dyDescent="0.25">
      <c r="A4" s="4" t="s">
        <v>69</v>
      </c>
      <c r="B4" s="5">
        <v>10890019</v>
      </c>
    </row>
    <row r="5" spans="1:2" x14ac:dyDescent="0.25">
      <c r="A5" s="4" t="s">
        <v>50</v>
      </c>
      <c r="B5" s="5">
        <v>10595332</v>
      </c>
    </row>
    <row r="6" spans="1:2" x14ac:dyDescent="0.25">
      <c r="A6" s="4" t="s">
        <v>30</v>
      </c>
      <c r="B6" s="5">
        <v>11626165</v>
      </c>
    </row>
    <row r="7" spans="1:2" x14ac:dyDescent="0.25">
      <c r="A7" s="4" t="s">
        <v>54</v>
      </c>
      <c r="B7" s="5">
        <v>10391655</v>
      </c>
    </row>
    <row r="8" spans="1:2" x14ac:dyDescent="0.25">
      <c r="A8" s="4" t="s">
        <v>21</v>
      </c>
      <c r="B8" s="5">
        <v>10674353</v>
      </c>
    </row>
    <row r="9" spans="1:2" x14ac:dyDescent="0.25">
      <c r="A9" s="4" t="s">
        <v>45</v>
      </c>
      <c r="B9" s="5">
        <v>9770396</v>
      </c>
    </row>
    <row r="10" spans="1:2" x14ac:dyDescent="0.25">
      <c r="A10" s="4" t="s">
        <v>1054</v>
      </c>
      <c r="B10" s="5">
        <v>63947920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501"/>
  <sheetViews>
    <sheetView workbookViewId="0">
      <pane ySplit="1" topLeftCell="A2" activePane="bottomLeft" state="frozen"/>
      <selection activeCell="H1" sqref="H1"/>
      <selection pane="bottomLeft" activeCell="E8" sqref="A2:R501"/>
    </sheetView>
  </sheetViews>
  <sheetFormatPr defaultRowHeight="15" x14ac:dyDescent="0.25"/>
  <cols>
    <col min="1" max="1" width="11.7109375" customWidth="1"/>
    <col min="2" max="2" width="15.5703125" customWidth="1"/>
    <col min="4" max="4" width="9" customWidth="1"/>
    <col min="5" max="5" width="13.140625" customWidth="1"/>
    <col min="6" max="6" width="14.42578125" customWidth="1"/>
    <col min="7" max="7" width="16.42578125" customWidth="1"/>
    <col min="8" max="8" width="19.140625" customWidth="1"/>
    <col min="9" max="9" width="18.28515625" customWidth="1"/>
    <col min="10" max="10" width="18.85546875" customWidth="1"/>
    <col min="11" max="11" width="20.7109375" customWidth="1"/>
    <col min="12" max="12" width="16.42578125" customWidth="1"/>
    <col min="13" max="13" width="18.28515625" customWidth="1"/>
    <col min="14" max="14" width="15" customWidth="1"/>
    <col min="15" max="15" width="14.42578125" customWidth="1"/>
    <col min="16" max="16" width="16.140625" customWidth="1"/>
    <col min="17" max="17" width="19.140625" customWidth="1"/>
    <col min="18" max="18" width="21.28515625" customWidth="1"/>
  </cols>
  <sheetData>
    <row r="1" spans="1:18" x14ac:dyDescent="0.25">
      <c r="A1" t="s">
        <v>0</v>
      </c>
      <c r="B1" t="s">
        <v>1</v>
      </c>
      <c r="C1" t="s">
        <v>2</v>
      </c>
      <c r="D1" t="s">
        <v>3</v>
      </c>
      <c r="E1" t="s">
        <v>4</v>
      </c>
      <c r="F1" t="s">
        <v>5</v>
      </c>
      <c r="G1" t="s">
        <v>6</v>
      </c>
      <c r="H1" s="2" t="s">
        <v>7</v>
      </c>
      <c r="I1" s="2" t="s">
        <v>8</v>
      </c>
      <c r="J1" s="2" t="s">
        <v>9</v>
      </c>
      <c r="K1" s="2" t="s">
        <v>10</v>
      </c>
      <c r="L1" s="2" t="s">
        <v>11</v>
      </c>
      <c r="M1" s="2" t="s">
        <v>12</v>
      </c>
      <c r="N1" s="2" t="s">
        <v>13</v>
      </c>
      <c r="O1" s="2" t="s">
        <v>14</v>
      </c>
      <c r="P1" s="2" t="s">
        <v>15</v>
      </c>
      <c r="Q1" s="2" t="s">
        <v>16</v>
      </c>
      <c r="R1" s="2" t="s">
        <v>17</v>
      </c>
    </row>
    <row r="2" spans="1:18" x14ac:dyDescent="0.25">
      <c r="A2" t="s">
        <v>18</v>
      </c>
      <c r="B2" t="s">
        <v>19</v>
      </c>
      <c r="C2">
        <v>52</v>
      </c>
      <c r="D2" t="s">
        <v>20</v>
      </c>
      <c r="E2" t="s">
        <v>21</v>
      </c>
      <c r="F2" t="s">
        <v>22</v>
      </c>
      <c r="G2" t="s">
        <v>23</v>
      </c>
      <c r="H2" s="1">
        <v>45500</v>
      </c>
      <c r="I2" s="1">
        <v>45343</v>
      </c>
      <c r="J2" t="s">
        <v>24</v>
      </c>
      <c r="K2">
        <v>17</v>
      </c>
      <c r="L2">
        <v>147326</v>
      </c>
      <c r="M2">
        <v>27069</v>
      </c>
      <c r="N2">
        <v>18388</v>
      </c>
      <c r="O2">
        <v>165005</v>
      </c>
      <c r="P2" t="s">
        <v>25</v>
      </c>
      <c r="Q2" t="s">
        <v>26</v>
      </c>
      <c r="R2" t="s">
        <v>27</v>
      </c>
    </row>
    <row r="3" spans="1:18" x14ac:dyDescent="0.25">
      <c r="A3" t="s">
        <v>28</v>
      </c>
      <c r="B3" t="s">
        <v>29</v>
      </c>
      <c r="C3">
        <v>15</v>
      </c>
      <c r="D3" t="s">
        <v>20</v>
      </c>
      <c r="E3" t="s">
        <v>30</v>
      </c>
      <c r="F3" t="s">
        <v>31</v>
      </c>
      <c r="G3" t="s">
        <v>23</v>
      </c>
      <c r="H3" s="1">
        <v>45582</v>
      </c>
      <c r="I3" s="1">
        <v>45537</v>
      </c>
      <c r="J3" t="s">
        <v>32</v>
      </c>
      <c r="K3">
        <v>10</v>
      </c>
      <c r="L3">
        <v>91610</v>
      </c>
      <c r="M3">
        <v>20275</v>
      </c>
      <c r="N3">
        <v>20192</v>
      </c>
      <c r="O3">
        <v>85154</v>
      </c>
      <c r="P3" t="s">
        <v>25</v>
      </c>
      <c r="Q3" t="s">
        <v>33</v>
      </c>
      <c r="R3" t="s">
        <v>34</v>
      </c>
    </row>
    <row r="4" spans="1:18" x14ac:dyDescent="0.25">
      <c r="A4" t="s">
        <v>35</v>
      </c>
      <c r="B4" t="s">
        <v>36</v>
      </c>
      <c r="C4">
        <v>72</v>
      </c>
      <c r="D4" t="s">
        <v>37</v>
      </c>
      <c r="E4" t="s">
        <v>21</v>
      </c>
      <c r="F4" t="s">
        <v>38</v>
      </c>
      <c r="G4" t="s">
        <v>39</v>
      </c>
      <c r="H4" s="1">
        <v>45645</v>
      </c>
      <c r="I4" s="1">
        <v>45327</v>
      </c>
      <c r="J4" t="s">
        <v>40</v>
      </c>
      <c r="K4">
        <v>10</v>
      </c>
      <c r="L4">
        <v>16442</v>
      </c>
      <c r="M4">
        <v>37284</v>
      </c>
      <c r="N4">
        <v>24001</v>
      </c>
      <c r="O4">
        <v>147379</v>
      </c>
      <c r="P4" t="s">
        <v>41</v>
      </c>
      <c r="Q4" t="s">
        <v>26</v>
      </c>
      <c r="R4" t="s">
        <v>42</v>
      </c>
    </row>
    <row r="5" spans="1:18" x14ac:dyDescent="0.25">
      <c r="A5" t="s">
        <v>43</v>
      </c>
      <c r="B5" t="s">
        <v>44</v>
      </c>
      <c r="C5">
        <v>61</v>
      </c>
      <c r="D5" t="s">
        <v>20</v>
      </c>
      <c r="E5" t="s">
        <v>45</v>
      </c>
      <c r="F5" t="s">
        <v>46</v>
      </c>
      <c r="G5" t="s">
        <v>23</v>
      </c>
      <c r="H5" s="1">
        <v>45577</v>
      </c>
      <c r="I5" s="1">
        <v>45594</v>
      </c>
      <c r="J5" t="s">
        <v>40</v>
      </c>
      <c r="K5">
        <v>4</v>
      </c>
      <c r="L5">
        <v>51289</v>
      </c>
      <c r="M5">
        <v>40178</v>
      </c>
      <c r="N5">
        <v>13804</v>
      </c>
      <c r="O5">
        <v>231279</v>
      </c>
      <c r="P5" t="s">
        <v>25</v>
      </c>
      <c r="Q5" t="s">
        <v>47</v>
      </c>
      <c r="R5" t="s">
        <v>34</v>
      </c>
    </row>
    <row r="6" spans="1:18" x14ac:dyDescent="0.25">
      <c r="A6" t="s">
        <v>48</v>
      </c>
      <c r="B6" t="s">
        <v>49</v>
      </c>
      <c r="C6">
        <v>21</v>
      </c>
      <c r="D6" t="s">
        <v>37</v>
      </c>
      <c r="E6" t="s">
        <v>50</v>
      </c>
      <c r="F6" t="s">
        <v>22</v>
      </c>
      <c r="G6" t="s">
        <v>23</v>
      </c>
      <c r="H6" s="1">
        <v>45407</v>
      </c>
      <c r="I6" s="1">
        <v>45361</v>
      </c>
      <c r="J6" t="s">
        <v>32</v>
      </c>
      <c r="K6">
        <v>8</v>
      </c>
      <c r="L6">
        <v>58747</v>
      </c>
      <c r="M6">
        <v>33821</v>
      </c>
      <c r="N6">
        <v>21932</v>
      </c>
      <c r="O6">
        <v>245281</v>
      </c>
      <c r="P6" t="s">
        <v>51</v>
      </c>
      <c r="Q6" t="s">
        <v>47</v>
      </c>
      <c r="R6" t="s">
        <v>34</v>
      </c>
    </row>
    <row r="7" spans="1:18" x14ac:dyDescent="0.25">
      <c r="A7" t="s">
        <v>52</v>
      </c>
      <c r="B7" t="s">
        <v>53</v>
      </c>
      <c r="C7">
        <v>83</v>
      </c>
      <c r="D7" t="s">
        <v>37</v>
      </c>
      <c r="E7" t="s">
        <v>54</v>
      </c>
      <c r="F7" t="s">
        <v>22</v>
      </c>
      <c r="G7" t="s">
        <v>39</v>
      </c>
      <c r="H7" s="1">
        <v>45555</v>
      </c>
      <c r="I7" s="1">
        <v>45641</v>
      </c>
      <c r="J7" t="s">
        <v>40</v>
      </c>
      <c r="K7">
        <v>18</v>
      </c>
      <c r="L7">
        <v>42327</v>
      </c>
      <c r="M7">
        <v>17999</v>
      </c>
      <c r="N7">
        <v>28027</v>
      </c>
      <c r="O7">
        <v>116297</v>
      </c>
      <c r="P7" t="s">
        <v>25</v>
      </c>
      <c r="Q7" t="s">
        <v>47</v>
      </c>
      <c r="R7" t="s">
        <v>34</v>
      </c>
    </row>
    <row r="8" spans="1:18" x14ac:dyDescent="0.25">
      <c r="A8" t="s">
        <v>55</v>
      </c>
      <c r="B8" t="s">
        <v>56</v>
      </c>
      <c r="C8">
        <v>87</v>
      </c>
      <c r="D8" t="s">
        <v>37</v>
      </c>
      <c r="E8" t="s">
        <v>54</v>
      </c>
      <c r="F8" t="s">
        <v>38</v>
      </c>
      <c r="G8" t="s">
        <v>23</v>
      </c>
      <c r="H8" s="1">
        <v>45441</v>
      </c>
      <c r="I8" s="1">
        <v>45612</v>
      </c>
      <c r="J8" t="s">
        <v>57</v>
      </c>
      <c r="K8">
        <v>14</v>
      </c>
      <c r="L8">
        <v>152271</v>
      </c>
      <c r="M8">
        <v>39712</v>
      </c>
      <c r="N8">
        <v>25147</v>
      </c>
      <c r="O8">
        <v>214946</v>
      </c>
      <c r="P8" t="s">
        <v>41</v>
      </c>
      <c r="Q8" t="s">
        <v>58</v>
      </c>
      <c r="R8" t="s">
        <v>42</v>
      </c>
    </row>
    <row r="9" spans="1:18" x14ac:dyDescent="0.25">
      <c r="A9" t="s">
        <v>59</v>
      </c>
      <c r="B9" t="s">
        <v>60</v>
      </c>
      <c r="C9">
        <v>75</v>
      </c>
      <c r="D9" t="s">
        <v>20</v>
      </c>
      <c r="E9" t="s">
        <v>30</v>
      </c>
      <c r="F9" t="s">
        <v>38</v>
      </c>
      <c r="G9" t="s">
        <v>23</v>
      </c>
      <c r="H9" s="1">
        <v>45591</v>
      </c>
      <c r="I9" s="1">
        <v>45341</v>
      </c>
      <c r="J9" t="s">
        <v>24</v>
      </c>
      <c r="K9">
        <v>18</v>
      </c>
      <c r="L9">
        <v>77827</v>
      </c>
      <c r="M9">
        <v>41172</v>
      </c>
      <c r="N9">
        <v>18574</v>
      </c>
      <c r="O9">
        <v>46346</v>
      </c>
      <c r="P9" t="s">
        <v>51</v>
      </c>
      <c r="Q9" t="s">
        <v>58</v>
      </c>
      <c r="R9" t="s">
        <v>27</v>
      </c>
    </row>
    <row r="10" spans="1:18" x14ac:dyDescent="0.25">
      <c r="A10" t="s">
        <v>61</v>
      </c>
      <c r="B10" t="s">
        <v>62</v>
      </c>
      <c r="C10">
        <v>75</v>
      </c>
      <c r="D10" t="s">
        <v>20</v>
      </c>
      <c r="E10" t="s">
        <v>21</v>
      </c>
      <c r="F10" t="s">
        <v>31</v>
      </c>
      <c r="G10" t="s">
        <v>23</v>
      </c>
      <c r="H10" s="1">
        <v>45327</v>
      </c>
      <c r="I10" s="1">
        <v>45366</v>
      </c>
      <c r="J10" t="s">
        <v>24</v>
      </c>
      <c r="K10">
        <v>14</v>
      </c>
      <c r="L10">
        <v>111464</v>
      </c>
      <c r="M10">
        <v>34722</v>
      </c>
      <c r="N10">
        <v>16049</v>
      </c>
      <c r="O10">
        <v>120138</v>
      </c>
      <c r="P10" t="s">
        <v>63</v>
      </c>
      <c r="Q10" t="s">
        <v>58</v>
      </c>
      <c r="R10" t="s">
        <v>34</v>
      </c>
    </row>
    <row r="11" spans="1:18" x14ac:dyDescent="0.25">
      <c r="A11" t="s">
        <v>64</v>
      </c>
      <c r="B11" t="s">
        <v>65</v>
      </c>
      <c r="C11">
        <v>88</v>
      </c>
      <c r="D11" t="s">
        <v>37</v>
      </c>
      <c r="E11" t="s">
        <v>21</v>
      </c>
      <c r="F11" t="s">
        <v>66</v>
      </c>
      <c r="G11" t="s">
        <v>23</v>
      </c>
      <c r="H11" s="1">
        <v>45624</v>
      </c>
      <c r="I11" s="1">
        <v>45484</v>
      </c>
      <c r="J11" t="s">
        <v>24</v>
      </c>
      <c r="K11">
        <v>15</v>
      </c>
      <c r="L11">
        <v>136184</v>
      </c>
      <c r="M11">
        <v>11625</v>
      </c>
      <c r="N11">
        <v>26420</v>
      </c>
      <c r="O11">
        <v>58772</v>
      </c>
      <c r="P11" t="s">
        <v>41</v>
      </c>
      <c r="Q11" t="s">
        <v>26</v>
      </c>
      <c r="R11" t="s">
        <v>42</v>
      </c>
    </row>
    <row r="12" spans="1:18" x14ac:dyDescent="0.25">
      <c r="A12" t="s">
        <v>67</v>
      </c>
      <c r="B12" t="s">
        <v>68</v>
      </c>
      <c r="C12">
        <v>24</v>
      </c>
      <c r="D12" t="s">
        <v>37</v>
      </c>
      <c r="E12" t="s">
        <v>69</v>
      </c>
      <c r="F12" t="s">
        <v>38</v>
      </c>
      <c r="G12" t="s">
        <v>39</v>
      </c>
      <c r="H12" s="1">
        <v>45578</v>
      </c>
      <c r="I12" s="1">
        <v>45553</v>
      </c>
      <c r="J12" t="s">
        <v>57</v>
      </c>
      <c r="K12">
        <v>4</v>
      </c>
      <c r="L12">
        <v>92051</v>
      </c>
      <c r="M12">
        <v>2629</v>
      </c>
      <c r="N12">
        <v>3803</v>
      </c>
      <c r="O12">
        <v>211156</v>
      </c>
      <c r="P12" t="s">
        <v>41</v>
      </c>
      <c r="Q12" t="s">
        <v>58</v>
      </c>
      <c r="R12" t="s">
        <v>70</v>
      </c>
    </row>
    <row r="13" spans="1:18" x14ac:dyDescent="0.25">
      <c r="A13" t="s">
        <v>71</v>
      </c>
      <c r="B13" t="s">
        <v>72</v>
      </c>
      <c r="C13">
        <v>3</v>
      </c>
      <c r="D13" t="s">
        <v>37</v>
      </c>
      <c r="E13" t="s">
        <v>50</v>
      </c>
      <c r="F13" t="s">
        <v>38</v>
      </c>
      <c r="G13" t="s">
        <v>23</v>
      </c>
      <c r="H13" s="1">
        <v>45594</v>
      </c>
      <c r="I13" s="1">
        <v>45648</v>
      </c>
      <c r="J13" t="s">
        <v>24</v>
      </c>
      <c r="K13">
        <v>13</v>
      </c>
      <c r="L13">
        <v>155653</v>
      </c>
      <c r="M13">
        <v>11973</v>
      </c>
      <c r="N13">
        <v>19997</v>
      </c>
      <c r="O13">
        <v>48149</v>
      </c>
      <c r="P13" t="s">
        <v>63</v>
      </c>
      <c r="Q13" t="s">
        <v>33</v>
      </c>
      <c r="R13" t="s">
        <v>42</v>
      </c>
    </row>
    <row r="14" spans="1:18" x14ac:dyDescent="0.25">
      <c r="A14" t="s">
        <v>73</v>
      </c>
      <c r="B14" t="s">
        <v>74</v>
      </c>
      <c r="C14">
        <v>22</v>
      </c>
      <c r="D14" t="s">
        <v>37</v>
      </c>
      <c r="E14" t="s">
        <v>45</v>
      </c>
      <c r="F14" t="s">
        <v>75</v>
      </c>
      <c r="G14" t="s">
        <v>23</v>
      </c>
      <c r="H14" s="1">
        <v>45602</v>
      </c>
      <c r="I14" s="1">
        <v>45362</v>
      </c>
      <c r="J14" t="s">
        <v>32</v>
      </c>
      <c r="K14">
        <v>8</v>
      </c>
      <c r="L14">
        <v>64722</v>
      </c>
      <c r="M14">
        <v>7859</v>
      </c>
      <c r="N14">
        <v>16561</v>
      </c>
      <c r="O14">
        <v>94700</v>
      </c>
      <c r="P14" t="s">
        <v>41</v>
      </c>
      <c r="Q14" t="s">
        <v>47</v>
      </c>
      <c r="R14" t="s">
        <v>70</v>
      </c>
    </row>
    <row r="15" spans="1:18" x14ac:dyDescent="0.25">
      <c r="A15" t="s">
        <v>76</v>
      </c>
      <c r="B15" t="s">
        <v>77</v>
      </c>
      <c r="C15">
        <v>53</v>
      </c>
      <c r="D15" t="s">
        <v>20</v>
      </c>
      <c r="E15" t="s">
        <v>54</v>
      </c>
      <c r="F15" t="s">
        <v>46</v>
      </c>
      <c r="G15" t="s">
        <v>39</v>
      </c>
      <c r="H15" s="1">
        <v>45499</v>
      </c>
      <c r="I15" s="1">
        <v>45382</v>
      </c>
      <c r="J15" t="s">
        <v>40</v>
      </c>
      <c r="K15">
        <v>18</v>
      </c>
      <c r="L15">
        <v>97036</v>
      </c>
      <c r="M15">
        <v>42609</v>
      </c>
      <c r="N15">
        <v>25958</v>
      </c>
      <c r="O15">
        <v>166598</v>
      </c>
      <c r="P15" t="s">
        <v>25</v>
      </c>
      <c r="Q15" t="s">
        <v>26</v>
      </c>
      <c r="R15" t="s">
        <v>42</v>
      </c>
    </row>
    <row r="16" spans="1:18" x14ac:dyDescent="0.25">
      <c r="A16" t="s">
        <v>78</v>
      </c>
      <c r="B16" t="s">
        <v>79</v>
      </c>
      <c r="C16">
        <v>2</v>
      </c>
      <c r="D16" t="s">
        <v>20</v>
      </c>
      <c r="E16" t="s">
        <v>69</v>
      </c>
      <c r="F16" t="s">
        <v>75</v>
      </c>
      <c r="G16" t="s">
        <v>80</v>
      </c>
      <c r="H16" s="1">
        <v>45397</v>
      </c>
      <c r="I16" s="1">
        <v>45552</v>
      </c>
      <c r="J16" t="s">
        <v>57</v>
      </c>
      <c r="K16">
        <v>12</v>
      </c>
      <c r="L16">
        <v>152595</v>
      </c>
      <c r="M16">
        <v>44307</v>
      </c>
      <c r="N16">
        <v>29310</v>
      </c>
      <c r="O16">
        <v>104758</v>
      </c>
      <c r="P16" t="s">
        <v>63</v>
      </c>
      <c r="Q16" t="s">
        <v>47</v>
      </c>
      <c r="R16" t="s">
        <v>27</v>
      </c>
    </row>
    <row r="17" spans="1:18" x14ac:dyDescent="0.25">
      <c r="A17" t="s">
        <v>81</v>
      </c>
      <c r="B17" t="s">
        <v>82</v>
      </c>
      <c r="C17">
        <v>88</v>
      </c>
      <c r="D17" t="s">
        <v>37</v>
      </c>
      <c r="E17" t="s">
        <v>69</v>
      </c>
      <c r="F17" t="s">
        <v>75</v>
      </c>
      <c r="G17" t="s">
        <v>39</v>
      </c>
      <c r="H17" s="1">
        <v>45449</v>
      </c>
      <c r="I17" s="1">
        <v>45418</v>
      </c>
      <c r="J17" t="s">
        <v>24</v>
      </c>
      <c r="K17">
        <v>14</v>
      </c>
      <c r="L17">
        <v>71960</v>
      </c>
      <c r="M17">
        <v>46450</v>
      </c>
      <c r="N17">
        <v>27738</v>
      </c>
      <c r="O17">
        <v>224784</v>
      </c>
      <c r="P17" t="s">
        <v>41</v>
      </c>
      <c r="Q17" t="s">
        <v>58</v>
      </c>
      <c r="R17" t="s">
        <v>34</v>
      </c>
    </row>
    <row r="18" spans="1:18" x14ac:dyDescent="0.25">
      <c r="A18" t="s">
        <v>83</v>
      </c>
      <c r="B18" t="s">
        <v>84</v>
      </c>
      <c r="C18">
        <v>30</v>
      </c>
      <c r="D18" t="s">
        <v>37</v>
      </c>
      <c r="E18" t="s">
        <v>30</v>
      </c>
      <c r="F18" t="s">
        <v>22</v>
      </c>
      <c r="G18" t="s">
        <v>80</v>
      </c>
      <c r="H18" s="1">
        <v>45412</v>
      </c>
      <c r="I18" s="1">
        <v>45523</v>
      </c>
      <c r="J18" t="s">
        <v>32</v>
      </c>
      <c r="K18">
        <v>2</v>
      </c>
      <c r="L18">
        <v>24552</v>
      </c>
      <c r="M18">
        <v>37046</v>
      </c>
      <c r="N18">
        <v>24734</v>
      </c>
      <c r="O18">
        <v>136447</v>
      </c>
      <c r="P18" t="s">
        <v>63</v>
      </c>
      <c r="Q18" t="s">
        <v>26</v>
      </c>
      <c r="R18" t="s">
        <v>27</v>
      </c>
    </row>
    <row r="19" spans="1:18" x14ac:dyDescent="0.25">
      <c r="A19" t="s">
        <v>85</v>
      </c>
      <c r="B19" t="s">
        <v>86</v>
      </c>
      <c r="C19">
        <v>38</v>
      </c>
      <c r="D19" t="s">
        <v>20</v>
      </c>
      <c r="E19" t="s">
        <v>54</v>
      </c>
      <c r="F19" t="s">
        <v>66</v>
      </c>
      <c r="G19" t="s">
        <v>39</v>
      </c>
      <c r="H19" s="1">
        <v>45346</v>
      </c>
      <c r="I19" s="1">
        <v>45587</v>
      </c>
      <c r="J19" t="s">
        <v>40</v>
      </c>
      <c r="K19">
        <v>18</v>
      </c>
      <c r="L19">
        <v>146880</v>
      </c>
      <c r="M19">
        <v>22839</v>
      </c>
      <c r="N19">
        <v>15698</v>
      </c>
      <c r="O19">
        <v>207549</v>
      </c>
      <c r="P19" t="s">
        <v>63</v>
      </c>
      <c r="Q19" t="s">
        <v>87</v>
      </c>
      <c r="R19" t="s">
        <v>42</v>
      </c>
    </row>
    <row r="20" spans="1:18" x14ac:dyDescent="0.25">
      <c r="A20" t="s">
        <v>88</v>
      </c>
      <c r="B20" t="s">
        <v>89</v>
      </c>
      <c r="C20">
        <v>2</v>
      </c>
      <c r="D20" t="s">
        <v>20</v>
      </c>
      <c r="E20" t="s">
        <v>30</v>
      </c>
      <c r="F20" t="s">
        <v>46</v>
      </c>
      <c r="G20" t="s">
        <v>39</v>
      </c>
      <c r="H20" s="1">
        <v>45303</v>
      </c>
      <c r="I20" s="1">
        <v>45421</v>
      </c>
      <c r="J20" t="s">
        <v>40</v>
      </c>
      <c r="K20">
        <v>2</v>
      </c>
      <c r="L20">
        <v>159692</v>
      </c>
      <c r="M20">
        <v>28216</v>
      </c>
      <c r="N20">
        <v>23300</v>
      </c>
      <c r="O20">
        <v>13695</v>
      </c>
      <c r="P20" t="s">
        <v>63</v>
      </c>
      <c r="Q20" t="s">
        <v>33</v>
      </c>
      <c r="R20" t="s">
        <v>34</v>
      </c>
    </row>
    <row r="21" spans="1:18" x14ac:dyDescent="0.25">
      <c r="A21" t="s">
        <v>90</v>
      </c>
      <c r="B21" t="s">
        <v>91</v>
      </c>
      <c r="C21">
        <v>64</v>
      </c>
      <c r="D21" t="s">
        <v>37</v>
      </c>
      <c r="E21" t="s">
        <v>45</v>
      </c>
      <c r="F21" t="s">
        <v>31</v>
      </c>
      <c r="G21" t="s">
        <v>23</v>
      </c>
      <c r="H21" s="1">
        <v>45436</v>
      </c>
      <c r="I21" s="1">
        <v>45572</v>
      </c>
      <c r="J21" t="s">
        <v>57</v>
      </c>
      <c r="K21">
        <v>11</v>
      </c>
      <c r="L21">
        <v>5887</v>
      </c>
      <c r="M21">
        <v>19945</v>
      </c>
      <c r="N21">
        <v>18388</v>
      </c>
      <c r="O21">
        <v>47169</v>
      </c>
      <c r="P21" t="s">
        <v>51</v>
      </c>
      <c r="Q21" t="s">
        <v>58</v>
      </c>
      <c r="R21" t="s">
        <v>70</v>
      </c>
    </row>
    <row r="22" spans="1:18" x14ac:dyDescent="0.25">
      <c r="A22" t="s">
        <v>92</v>
      </c>
      <c r="B22" t="s">
        <v>93</v>
      </c>
      <c r="C22">
        <v>60</v>
      </c>
      <c r="D22" t="s">
        <v>37</v>
      </c>
      <c r="E22" t="s">
        <v>69</v>
      </c>
      <c r="F22" t="s">
        <v>31</v>
      </c>
      <c r="G22" t="s">
        <v>80</v>
      </c>
      <c r="H22" s="1">
        <v>45427</v>
      </c>
      <c r="I22" s="1">
        <v>45605</v>
      </c>
      <c r="J22" t="s">
        <v>57</v>
      </c>
      <c r="K22">
        <v>9</v>
      </c>
      <c r="L22">
        <v>36802</v>
      </c>
      <c r="M22">
        <v>7539</v>
      </c>
      <c r="N22">
        <v>11155</v>
      </c>
      <c r="O22">
        <v>55947</v>
      </c>
      <c r="P22" t="s">
        <v>41</v>
      </c>
      <c r="Q22" t="s">
        <v>58</v>
      </c>
      <c r="R22" t="s">
        <v>42</v>
      </c>
    </row>
    <row r="23" spans="1:18" x14ac:dyDescent="0.25">
      <c r="A23" t="s">
        <v>94</v>
      </c>
      <c r="B23" t="s">
        <v>95</v>
      </c>
      <c r="C23">
        <v>21</v>
      </c>
      <c r="D23" t="s">
        <v>37</v>
      </c>
      <c r="E23" t="s">
        <v>69</v>
      </c>
      <c r="F23" t="s">
        <v>38</v>
      </c>
      <c r="G23" t="s">
        <v>23</v>
      </c>
      <c r="H23" s="1">
        <v>45294</v>
      </c>
      <c r="I23" s="1">
        <v>45392</v>
      </c>
      <c r="J23" t="s">
        <v>57</v>
      </c>
      <c r="K23">
        <v>12</v>
      </c>
      <c r="L23">
        <v>90024</v>
      </c>
      <c r="M23">
        <v>34625</v>
      </c>
      <c r="N23">
        <v>27629</v>
      </c>
      <c r="O23">
        <v>186296</v>
      </c>
      <c r="P23" t="s">
        <v>51</v>
      </c>
      <c r="Q23" t="s">
        <v>33</v>
      </c>
      <c r="R23" t="s">
        <v>34</v>
      </c>
    </row>
    <row r="24" spans="1:18" x14ac:dyDescent="0.25">
      <c r="A24" t="s">
        <v>96</v>
      </c>
      <c r="B24" t="s">
        <v>97</v>
      </c>
      <c r="C24">
        <v>33</v>
      </c>
      <c r="D24" t="s">
        <v>20</v>
      </c>
      <c r="E24" t="s">
        <v>50</v>
      </c>
      <c r="F24" t="s">
        <v>38</v>
      </c>
      <c r="G24" t="s">
        <v>80</v>
      </c>
      <c r="H24" s="1">
        <v>45435</v>
      </c>
      <c r="I24" s="1">
        <v>45618</v>
      </c>
      <c r="J24" t="s">
        <v>32</v>
      </c>
      <c r="K24">
        <v>17</v>
      </c>
      <c r="L24">
        <v>123639</v>
      </c>
      <c r="M24">
        <v>5886</v>
      </c>
      <c r="N24">
        <v>9424</v>
      </c>
      <c r="O24">
        <v>53865</v>
      </c>
      <c r="P24" t="s">
        <v>41</v>
      </c>
      <c r="Q24" t="s">
        <v>33</v>
      </c>
      <c r="R24" t="s">
        <v>70</v>
      </c>
    </row>
    <row r="25" spans="1:18" x14ac:dyDescent="0.25">
      <c r="A25" t="s">
        <v>98</v>
      </c>
      <c r="B25" t="s">
        <v>99</v>
      </c>
      <c r="C25">
        <v>76</v>
      </c>
      <c r="D25" t="s">
        <v>20</v>
      </c>
      <c r="E25" t="s">
        <v>45</v>
      </c>
      <c r="F25" t="s">
        <v>31</v>
      </c>
      <c r="G25" t="s">
        <v>39</v>
      </c>
      <c r="H25" s="1">
        <v>45321</v>
      </c>
      <c r="I25" s="1">
        <v>45589</v>
      </c>
      <c r="J25" t="s">
        <v>32</v>
      </c>
      <c r="K25">
        <v>15</v>
      </c>
      <c r="L25">
        <v>123248</v>
      </c>
      <c r="M25">
        <v>46713</v>
      </c>
      <c r="N25">
        <v>10440</v>
      </c>
      <c r="O25">
        <v>164625</v>
      </c>
      <c r="P25" t="s">
        <v>25</v>
      </c>
      <c r="Q25" t="s">
        <v>87</v>
      </c>
      <c r="R25" t="s">
        <v>70</v>
      </c>
    </row>
    <row r="26" spans="1:18" x14ac:dyDescent="0.25">
      <c r="A26" t="s">
        <v>100</v>
      </c>
      <c r="B26" t="s">
        <v>101</v>
      </c>
      <c r="C26">
        <v>58</v>
      </c>
      <c r="D26" t="s">
        <v>20</v>
      </c>
      <c r="E26" t="s">
        <v>69</v>
      </c>
      <c r="F26" t="s">
        <v>38</v>
      </c>
      <c r="G26" t="s">
        <v>39</v>
      </c>
      <c r="H26" s="1">
        <v>45528</v>
      </c>
      <c r="I26" s="1">
        <v>45474</v>
      </c>
      <c r="J26" t="s">
        <v>57</v>
      </c>
      <c r="K26">
        <v>17</v>
      </c>
      <c r="L26">
        <v>86938</v>
      </c>
      <c r="M26">
        <v>8485</v>
      </c>
      <c r="N26">
        <v>4424</v>
      </c>
      <c r="O26">
        <v>112501</v>
      </c>
      <c r="P26" t="s">
        <v>25</v>
      </c>
      <c r="Q26" t="s">
        <v>58</v>
      </c>
      <c r="R26" t="s">
        <v>27</v>
      </c>
    </row>
    <row r="27" spans="1:18" x14ac:dyDescent="0.25">
      <c r="A27" t="s">
        <v>102</v>
      </c>
      <c r="B27" t="s">
        <v>103</v>
      </c>
      <c r="C27">
        <v>22</v>
      </c>
      <c r="D27" t="s">
        <v>37</v>
      </c>
      <c r="E27" t="s">
        <v>45</v>
      </c>
      <c r="F27" t="s">
        <v>66</v>
      </c>
      <c r="G27" t="s">
        <v>80</v>
      </c>
      <c r="H27" s="1">
        <v>45570</v>
      </c>
      <c r="I27" s="1">
        <v>45466</v>
      </c>
      <c r="J27" t="s">
        <v>24</v>
      </c>
      <c r="K27">
        <v>18</v>
      </c>
      <c r="L27">
        <v>127746</v>
      </c>
      <c r="M27">
        <v>32455</v>
      </c>
      <c r="N27">
        <v>25499</v>
      </c>
      <c r="O27">
        <v>68410</v>
      </c>
      <c r="P27" t="s">
        <v>25</v>
      </c>
      <c r="Q27" t="s">
        <v>58</v>
      </c>
      <c r="R27" t="s">
        <v>42</v>
      </c>
    </row>
    <row r="28" spans="1:18" x14ac:dyDescent="0.25">
      <c r="A28" t="s">
        <v>104</v>
      </c>
      <c r="B28" t="s">
        <v>105</v>
      </c>
      <c r="C28">
        <v>89</v>
      </c>
      <c r="D28" t="s">
        <v>37</v>
      </c>
      <c r="E28" t="s">
        <v>54</v>
      </c>
      <c r="F28" t="s">
        <v>75</v>
      </c>
      <c r="G28" t="s">
        <v>23</v>
      </c>
      <c r="H28" s="1">
        <v>45639</v>
      </c>
      <c r="I28" s="1">
        <v>45608</v>
      </c>
      <c r="J28" t="s">
        <v>40</v>
      </c>
      <c r="K28">
        <v>6</v>
      </c>
      <c r="L28">
        <v>31049</v>
      </c>
      <c r="M28">
        <v>47448</v>
      </c>
      <c r="N28">
        <v>28554</v>
      </c>
      <c r="O28">
        <v>111754</v>
      </c>
      <c r="P28" t="s">
        <v>41</v>
      </c>
      <c r="Q28" t="s">
        <v>47</v>
      </c>
      <c r="R28" t="s">
        <v>70</v>
      </c>
    </row>
    <row r="29" spans="1:18" x14ac:dyDescent="0.25">
      <c r="A29" t="s">
        <v>106</v>
      </c>
      <c r="B29" t="s">
        <v>107</v>
      </c>
      <c r="C29">
        <v>49</v>
      </c>
      <c r="D29" t="s">
        <v>20</v>
      </c>
      <c r="E29" t="s">
        <v>21</v>
      </c>
      <c r="F29" t="s">
        <v>38</v>
      </c>
      <c r="G29" t="s">
        <v>23</v>
      </c>
      <c r="H29" s="1">
        <v>45406</v>
      </c>
      <c r="I29" s="1">
        <v>45656</v>
      </c>
      <c r="J29" t="s">
        <v>40</v>
      </c>
      <c r="K29">
        <v>17</v>
      </c>
      <c r="L29">
        <v>82789</v>
      </c>
      <c r="M29">
        <v>17767</v>
      </c>
      <c r="N29">
        <v>10283</v>
      </c>
      <c r="O29">
        <v>98895</v>
      </c>
      <c r="P29" t="s">
        <v>63</v>
      </c>
      <c r="Q29" t="s">
        <v>26</v>
      </c>
      <c r="R29" t="s">
        <v>34</v>
      </c>
    </row>
    <row r="30" spans="1:18" x14ac:dyDescent="0.25">
      <c r="A30" t="s">
        <v>108</v>
      </c>
      <c r="B30" t="s">
        <v>109</v>
      </c>
      <c r="C30">
        <v>59</v>
      </c>
      <c r="D30" t="s">
        <v>20</v>
      </c>
      <c r="E30" t="s">
        <v>69</v>
      </c>
      <c r="F30" t="s">
        <v>22</v>
      </c>
      <c r="G30" t="s">
        <v>23</v>
      </c>
      <c r="H30" s="1">
        <v>45395</v>
      </c>
      <c r="I30" s="1">
        <v>45480</v>
      </c>
      <c r="J30" t="s">
        <v>32</v>
      </c>
      <c r="K30">
        <v>18</v>
      </c>
      <c r="L30">
        <v>89526</v>
      </c>
      <c r="M30">
        <v>48165</v>
      </c>
      <c r="N30">
        <v>4985</v>
      </c>
      <c r="O30">
        <v>163888</v>
      </c>
      <c r="P30" t="s">
        <v>63</v>
      </c>
      <c r="Q30" t="s">
        <v>26</v>
      </c>
      <c r="R30" t="s">
        <v>70</v>
      </c>
    </row>
    <row r="31" spans="1:18" x14ac:dyDescent="0.25">
      <c r="A31" t="s">
        <v>110</v>
      </c>
      <c r="B31" t="s">
        <v>111</v>
      </c>
      <c r="C31">
        <v>42</v>
      </c>
      <c r="D31" t="s">
        <v>37</v>
      </c>
      <c r="E31" t="s">
        <v>50</v>
      </c>
      <c r="F31" t="s">
        <v>38</v>
      </c>
      <c r="G31" t="s">
        <v>23</v>
      </c>
      <c r="H31" s="1">
        <v>45409</v>
      </c>
      <c r="I31" s="1">
        <v>45349</v>
      </c>
      <c r="J31" t="s">
        <v>40</v>
      </c>
      <c r="K31">
        <v>8</v>
      </c>
      <c r="L31">
        <v>143918</v>
      </c>
      <c r="M31">
        <v>29453</v>
      </c>
      <c r="N31">
        <v>13129</v>
      </c>
      <c r="O31">
        <v>194098</v>
      </c>
      <c r="P31" t="s">
        <v>51</v>
      </c>
      <c r="Q31" t="s">
        <v>47</v>
      </c>
      <c r="R31" t="s">
        <v>70</v>
      </c>
    </row>
    <row r="32" spans="1:18" x14ac:dyDescent="0.25">
      <c r="A32" t="s">
        <v>112</v>
      </c>
      <c r="B32" t="s">
        <v>113</v>
      </c>
      <c r="C32">
        <v>60</v>
      </c>
      <c r="D32" t="s">
        <v>20</v>
      </c>
      <c r="E32" t="s">
        <v>54</v>
      </c>
      <c r="F32" t="s">
        <v>46</v>
      </c>
      <c r="G32" t="s">
        <v>39</v>
      </c>
      <c r="H32" s="1">
        <v>45296</v>
      </c>
      <c r="I32" s="1">
        <v>45323</v>
      </c>
      <c r="J32" t="s">
        <v>24</v>
      </c>
      <c r="K32">
        <v>9</v>
      </c>
      <c r="L32">
        <v>51220</v>
      </c>
      <c r="M32">
        <v>11744</v>
      </c>
      <c r="N32">
        <v>13733</v>
      </c>
      <c r="O32">
        <v>58705</v>
      </c>
      <c r="P32" t="s">
        <v>51</v>
      </c>
      <c r="Q32" t="s">
        <v>26</v>
      </c>
      <c r="R32" t="s">
        <v>27</v>
      </c>
    </row>
    <row r="33" spans="1:18" x14ac:dyDescent="0.25">
      <c r="A33" t="s">
        <v>114</v>
      </c>
      <c r="B33" t="s">
        <v>115</v>
      </c>
      <c r="C33">
        <v>80</v>
      </c>
      <c r="D33" t="s">
        <v>20</v>
      </c>
      <c r="E33" t="s">
        <v>45</v>
      </c>
      <c r="F33" t="s">
        <v>66</v>
      </c>
      <c r="G33" t="s">
        <v>39</v>
      </c>
      <c r="H33" s="1">
        <v>45651</v>
      </c>
      <c r="I33" s="1">
        <v>45376</v>
      </c>
      <c r="J33" t="s">
        <v>40</v>
      </c>
      <c r="K33">
        <v>6</v>
      </c>
      <c r="L33">
        <v>51163</v>
      </c>
      <c r="M33">
        <v>38102</v>
      </c>
      <c r="N33">
        <v>13401</v>
      </c>
      <c r="O33">
        <v>200994</v>
      </c>
      <c r="P33" t="s">
        <v>25</v>
      </c>
      <c r="Q33" t="s">
        <v>33</v>
      </c>
      <c r="R33" t="s">
        <v>27</v>
      </c>
    </row>
    <row r="34" spans="1:18" x14ac:dyDescent="0.25">
      <c r="A34" t="s">
        <v>116</v>
      </c>
      <c r="B34" t="s">
        <v>117</v>
      </c>
      <c r="C34">
        <v>15</v>
      </c>
      <c r="D34" t="s">
        <v>37</v>
      </c>
      <c r="E34" t="s">
        <v>30</v>
      </c>
      <c r="F34" t="s">
        <v>46</v>
      </c>
      <c r="G34" t="s">
        <v>39</v>
      </c>
      <c r="H34" s="1">
        <v>45539</v>
      </c>
      <c r="I34" s="1">
        <v>45444</v>
      </c>
      <c r="J34" t="s">
        <v>32</v>
      </c>
      <c r="K34">
        <v>5</v>
      </c>
      <c r="L34">
        <v>139837</v>
      </c>
      <c r="M34">
        <v>13226</v>
      </c>
      <c r="N34">
        <v>24984</v>
      </c>
      <c r="O34">
        <v>123700</v>
      </c>
      <c r="P34" t="s">
        <v>51</v>
      </c>
      <c r="Q34" t="s">
        <v>26</v>
      </c>
      <c r="R34" t="s">
        <v>34</v>
      </c>
    </row>
    <row r="35" spans="1:18" x14ac:dyDescent="0.25">
      <c r="A35" t="s">
        <v>118</v>
      </c>
      <c r="B35" t="s">
        <v>119</v>
      </c>
      <c r="C35">
        <v>62</v>
      </c>
      <c r="D35" t="s">
        <v>20</v>
      </c>
      <c r="E35" t="s">
        <v>54</v>
      </c>
      <c r="F35" t="s">
        <v>46</v>
      </c>
      <c r="G35" t="s">
        <v>39</v>
      </c>
      <c r="H35" s="1">
        <v>45655</v>
      </c>
      <c r="I35" s="1">
        <v>45328</v>
      </c>
      <c r="J35" t="s">
        <v>32</v>
      </c>
      <c r="K35">
        <v>12</v>
      </c>
      <c r="L35">
        <v>122126</v>
      </c>
      <c r="M35">
        <v>28869</v>
      </c>
      <c r="N35">
        <v>25568</v>
      </c>
      <c r="O35">
        <v>81914</v>
      </c>
      <c r="P35" t="s">
        <v>41</v>
      </c>
      <c r="Q35" t="s">
        <v>26</v>
      </c>
      <c r="R35" t="s">
        <v>27</v>
      </c>
    </row>
    <row r="36" spans="1:18" x14ac:dyDescent="0.25">
      <c r="A36" t="s">
        <v>120</v>
      </c>
      <c r="B36" t="s">
        <v>121</v>
      </c>
      <c r="C36">
        <v>62</v>
      </c>
      <c r="D36" t="s">
        <v>37</v>
      </c>
      <c r="E36" t="s">
        <v>69</v>
      </c>
      <c r="F36" t="s">
        <v>22</v>
      </c>
      <c r="G36" t="s">
        <v>39</v>
      </c>
      <c r="H36" s="1">
        <v>45612</v>
      </c>
      <c r="I36" s="1">
        <v>45505</v>
      </c>
      <c r="J36" t="s">
        <v>24</v>
      </c>
      <c r="K36">
        <v>11</v>
      </c>
      <c r="L36">
        <v>86486</v>
      </c>
      <c r="M36">
        <v>23588</v>
      </c>
      <c r="N36">
        <v>691</v>
      </c>
      <c r="O36">
        <v>9881</v>
      </c>
      <c r="P36" t="s">
        <v>41</v>
      </c>
      <c r="Q36" t="s">
        <v>47</v>
      </c>
      <c r="R36" t="s">
        <v>70</v>
      </c>
    </row>
    <row r="37" spans="1:18" x14ac:dyDescent="0.25">
      <c r="A37" t="s">
        <v>122</v>
      </c>
      <c r="B37" t="s">
        <v>123</v>
      </c>
      <c r="C37">
        <v>47</v>
      </c>
      <c r="D37" t="s">
        <v>37</v>
      </c>
      <c r="E37" t="s">
        <v>45</v>
      </c>
      <c r="F37" t="s">
        <v>66</v>
      </c>
      <c r="G37" t="s">
        <v>23</v>
      </c>
      <c r="H37" s="1">
        <v>45412</v>
      </c>
      <c r="I37" s="1">
        <v>45656</v>
      </c>
      <c r="J37" t="s">
        <v>24</v>
      </c>
      <c r="K37">
        <v>1</v>
      </c>
      <c r="L37">
        <v>181342</v>
      </c>
      <c r="M37">
        <v>14440</v>
      </c>
      <c r="N37">
        <v>25574</v>
      </c>
      <c r="O37">
        <v>178639</v>
      </c>
      <c r="P37" t="s">
        <v>51</v>
      </c>
      <c r="Q37" t="s">
        <v>87</v>
      </c>
      <c r="R37" t="s">
        <v>70</v>
      </c>
    </row>
    <row r="38" spans="1:18" x14ac:dyDescent="0.25">
      <c r="A38" t="s">
        <v>124</v>
      </c>
      <c r="B38" t="s">
        <v>125</v>
      </c>
      <c r="C38">
        <v>62</v>
      </c>
      <c r="D38" t="s">
        <v>37</v>
      </c>
      <c r="E38" t="s">
        <v>21</v>
      </c>
      <c r="F38" t="s">
        <v>66</v>
      </c>
      <c r="G38" t="s">
        <v>23</v>
      </c>
      <c r="H38" s="1">
        <v>45577</v>
      </c>
      <c r="I38" s="1">
        <v>45398</v>
      </c>
      <c r="J38" t="s">
        <v>40</v>
      </c>
      <c r="K38">
        <v>11</v>
      </c>
      <c r="L38">
        <v>80277</v>
      </c>
      <c r="M38">
        <v>32709</v>
      </c>
      <c r="N38">
        <v>5417</v>
      </c>
      <c r="O38">
        <v>55365</v>
      </c>
      <c r="P38" t="s">
        <v>51</v>
      </c>
      <c r="Q38" t="s">
        <v>26</v>
      </c>
      <c r="R38" t="s">
        <v>27</v>
      </c>
    </row>
    <row r="39" spans="1:18" x14ac:dyDescent="0.25">
      <c r="A39" t="s">
        <v>126</v>
      </c>
      <c r="B39" t="s">
        <v>127</v>
      </c>
      <c r="C39">
        <v>51</v>
      </c>
      <c r="D39" t="s">
        <v>37</v>
      </c>
      <c r="E39" t="s">
        <v>54</v>
      </c>
      <c r="F39" t="s">
        <v>66</v>
      </c>
      <c r="G39" t="s">
        <v>23</v>
      </c>
      <c r="H39" s="1">
        <v>45440</v>
      </c>
      <c r="I39" s="1">
        <v>45634</v>
      </c>
      <c r="J39" t="s">
        <v>40</v>
      </c>
      <c r="K39">
        <v>19</v>
      </c>
      <c r="L39">
        <v>109245</v>
      </c>
      <c r="M39">
        <v>48788</v>
      </c>
      <c r="N39">
        <v>6331</v>
      </c>
      <c r="O39">
        <v>87211</v>
      </c>
      <c r="P39" t="s">
        <v>51</v>
      </c>
      <c r="Q39" t="s">
        <v>26</v>
      </c>
      <c r="R39" t="s">
        <v>70</v>
      </c>
    </row>
    <row r="40" spans="1:18" x14ac:dyDescent="0.25">
      <c r="A40" t="s">
        <v>128</v>
      </c>
      <c r="B40" t="s">
        <v>129</v>
      </c>
      <c r="C40">
        <v>55</v>
      </c>
      <c r="D40" t="s">
        <v>37</v>
      </c>
      <c r="E40" t="s">
        <v>69</v>
      </c>
      <c r="F40" t="s">
        <v>66</v>
      </c>
      <c r="G40" t="s">
        <v>23</v>
      </c>
      <c r="H40" s="1">
        <v>45375</v>
      </c>
      <c r="I40" s="1">
        <v>45512</v>
      </c>
      <c r="J40" t="s">
        <v>32</v>
      </c>
      <c r="K40">
        <v>9</v>
      </c>
      <c r="L40">
        <v>127332</v>
      </c>
      <c r="M40">
        <v>23495</v>
      </c>
      <c r="N40">
        <v>26332</v>
      </c>
      <c r="O40">
        <v>209194</v>
      </c>
      <c r="P40" t="s">
        <v>51</v>
      </c>
      <c r="Q40" t="s">
        <v>87</v>
      </c>
      <c r="R40" t="s">
        <v>70</v>
      </c>
    </row>
    <row r="41" spans="1:18" x14ac:dyDescent="0.25">
      <c r="A41" t="s">
        <v>130</v>
      </c>
      <c r="B41" t="s">
        <v>131</v>
      </c>
      <c r="C41">
        <v>64</v>
      </c>
      <c r="D41" t="s">
        <v>37</v>
      </c>
      <c r="E41" t="s">
        <v>50</v>
      </c>
      <c r="F41" t="s">
        <v>66</v>
      </c>
      <c r="G41" t="s">
        <v>39</v>
      </c>
      <c r="H41" s="1">
        <v>45522</v>
      </c>
      <c r="I41" s="1">
        <v>45455</v>
      </c>
      <c r="J41" t="s">
        <v>24</v>
      </c>
      <c r="K41">
        <v>2</v>
      </c>
      <c r="L41">
        <v>27931</v>
      </c>
      <c r="M41">
        <v>38019</v>
      </c>
      <c r="N41">
        <v>10660</v>
      </c>
      <c r="O41">
        <v>164078</v>
      </c>
      <c r="P41" t="s">
        <v>25</v>
      </c>
      <c r="Q41" t="s">
        <v>47</v>
      </c>
      <c r="R41" t="s">
        <v>34</v>
      </c>
    </row>
    <row r="42" spans="1:18" x14ac:dyDescent="0.25">
      <c r="A42" t="s">
        <v>132</v>
      </c>
      <c r="B42" t="s">
        <v>133</v>
      </c>
      <c r="C42">
        <v>3</v>
      </c>
      <c r="D42" t="s">
        <v>37</v>
      </c>
      <c r="E42" t="s">
        <v>30</v>
      </c>
      <c r="F42" t="s">
        <v>22</v>
      </c>
      <c r="G42" t="s">
        <v>39</v>
      </c>
      <c r="H42" s="1">
        <v>45579</v>
      </c>
      <c r="I42" s="1">
        <v>45512</v>
      </c>
      <c r="J42" t="s">
        <v>24</v>
      </c>
      <c r="K42">
        <v>12</v>
      </c>
      <c r="L42">
        <v>94116</v>
      </c>
      <c r="M42">
        <v>45948</v>
      </c>
      <c r="N42">
        <v>21206</v>
      </c>
      <c r="O42">
        <v>49198</v>
      </c>
      <c r="P42" t="s">
        <v>25</v>
      </c>
      <c r="Q42" t="s">
        <v>87</v>
      </c>
      <c r="R42" t="s">
        <v>27</v>
      </c>
    </row>
    <row r="43" spans="1:18" x14ac:dyDescent="0.25">
      <c r="A43" t="s">
        <v>134</v>
      </c>
      <c r="B43" t="s">
        <v>135</v>
      </c>
      <c r="C43">
        <v>51</v>
      </c>
      <c r="D43" t="s">
        <v>20</v>
      </c>
      <c r="E43" t="s">
        <v>45</v>
      </c>
      <c r="F43" t="s">
        <v>38</v>
      </c>
      <c r="G43" t="s">
        <v>39</v>
      </c>
      <c r="H43" s="1">
        <v>45452</v>
      </c>
      <c r="I43" s="1">
        <v>45562</v>
      </c>
      <c r="J43" t="s">
        <v>24</v>
      </c>
      <c r="K43">
        <v>4</v>
      </c>
      <c r="L43">
        <v>60633</v>
      </c>
      <c r="M43">
        <v>49908</v>
      </c>
      <c r="N43">
        <v>14182</v>
      </c>
      <c r="O43">
        <v>161903</v>
      </c>
      <c r="P43" t="s">
        <v>51</v>
      </c>
      <c r="Q43" t="s">
        <v>47</v>
      </c>
      <c r="R43" t="s">
        <v>70</v>
      </c>
    </row>
    <row r="44" spans="1:18" x14ac:dyDescent="0.25">
      <c r="A44" t="s">
        <v>136</v>
      </c>
      <c r="B44" t="s">
        <v>137</v>
      </c>
      <c r="C44">
        <v>7</v>
      </c>
      <c r="D44" t="s">
        <v>37</v>
      </c>
      <c r="E44" t="s">
        <v>54</v>
      </c>
      <c r="F44" t="s">
        <v>46</v>
      </c>
      <c r="G44" t="s">
        <v>80</v>
      </c>
      <c r="H44" s="1">
        <v>45563</v>
      </c>
      <c r="I44" s="1">
        <v>45412</v>
      </c>
      <c r="J44" t="s">
        <v>40</v>
      </c>
      <c r="K44">
        <v>4</v>
      </c>
      <c r="L44">
        <v>56913</v>
      </c>
      <c r="M44">
        <v>1922</v>
      </c>
      <c r="N44">
        <v>27262</v>
      </c>
      <c r="O44">
        <v>108649</v>
      </c>
      <c r="P44" t="s">
        <v>41</v>
      </c>
      <c r="Q44" t="s">
        <v>33</v>
      </c>
      <c r="R44" t="s">
        <v>27</v>
      </c>
    </row>
    <row r="45" spans="1:18" x14ac:dyDescent="0.25">
      <c r="A45" t="s">
        <v>138</v>
      </c>
      <c r="B45" t="s">
        <v>139</v>
      </c>
      <c r="C45">
        <v>21</v>
      </c>
      <c r="D45" t="s">
        <v>37</v>
      </c>
      <c r="E45" t="s">
        <v>54</v>
      </c>
      <c r="F45" t="s">
        <v>66</v>
      </c>
      <c r="G45" t="s">
        <v>23</v>
      </c>
      <c r="H45" s="1">
        <v>45329</v>
      </c>
      <c r="I45" s="1">
        <v>45628</v>
      </c>
      <c r="J45" t="s">
        <v>24</v>
      </c>
      <c r="K45">
        <v>18</v>
      </c>
      <c r="L45">
        <v>99776</v>
      </c>
      <c r="M45">
        <v>28526</v>
      </c>
      <c r="N45">
        <v>23883</v>
      </c>
      <c r="O45">
        <v>155531</v>
      </c>
      <c r="P45" t="s">
        <v>25</v>
      </c>
      <c r="Q45" t="s">
        <v>47</v>
      </c>
      <c r="R45" t="s">
        <v>34</v>
      </c>
    </row>
    <row r="46" spans="1:18" x14ac:dyDescent="0.25">
      <c r="A46" t="s">
        <v>140</v>
      </c>
      <c r="B46" t="s">
        <v>141</v>
      </c>
      <c r="C46">
        <v>73</v>
      </c>
      <c r="D46" t="s">
        <v>20</v>
      </c>
      <c r="E46" t="s">
        <v>21</v>
      </c>
      <c r="F46" t="s">
        <v>38</v>
      </c>
      <c r="G46" t="s">
        <v>23</v>
      </c>
      <c r="H46" s="1">
        <v>45517</v>
      </c>
      <c r="I46" s="1">
        <v>45474</v>
      </c>
      <c r="J46" t="s">
        <v>32</v>
      </c>
      <c r="K46">
        <v>15</v>
      </c>
      <c r="L46">
        <v>30991</v>
      </c>
      <c r="M46">
        <v>8957</v>
      </c>
      <c r="N46">
        <v>25892</v>
      </c>
      <c r="O46">
        <v>171515</v>
      </c>
      <c r="P46" t="s">
        <v>41</v>
      </c>
      <c r="Q46" t="s">
        <v>33</v>
      </c>
      <c r="R46" t="s">
        <v>27</v>
      </c>
    </row>
    <row r="47" spans="1:18" x14ac:dyDescent="0.25">
      <c r="A47" t="s">
        <v>142</v>
      </c>
      <c r="B47" t="s">
        <v>143</v>
      </c>
      <c r="C47">
        <v>39</v>
      </c>
      <c r="D47" t="s">
        <v>20</v>
      </c>
      <c r="E47" t="s">
        <v>21</v>
      </c>
      <c r="F47" t="s">
        <v>38</v>
      </c>
      <c r="G47" t="s">
        <v>39</v>
      </c>
      <c r="H47" s="1">
        <v>45433</v>
      </c>
      <c r="I47" s="1">
        <v>45398</v>
      </c>
      <c r="J47" t="s">
        <v>32</v>
      </c>
      <c r="K47">
        <v>19</v>
      </c>
      <c r="L47">
        <v>190917</v>
      </c>
      <c r="M47">
        <v>49564</v>
      </c>
      <c r="N47">
        <v>28296</v>
      </c>
      <c r="O47">
        <v>181388</v>
      </c>
      <c r="P47" t="s">
        <v>63</v>
      </c>
      <c r="Q47" t="s">
        <v>33</v>
      </c>
      <c r="R47" t="s">
        <v>70</v>
      </c>
    </row>
    <row r="48" spans="1:18" x14ac:dyDescent="0.25">
      <c r="A48" t="s">
        <v>144</v>
      </c>
      <c r="B48" t="s">
        <v>145</v>
      </c>
      <c r="C48">
        <v>18</v>
      </c>
      <c r="D48" t="s">
        <v>20</v>
      </c>
      <c r="E48" t="s">
        <v>50</v>
      </c>
      <c r="F48" t="s">
        <v>46</v>
      </c>
      <c r="G48" t="s">
        <v>23</v>
      </c>
      <c r="H48" s="1">
        <v>45583</v>
      </c>
      <c r="I48" s="1">
        <v>45509</v>
      </c>
      <c r="J48" t="s">
        <v>40</v>
      </c>
      <c r="K48">
        <v>13</v>
      </c>
      <c r="L48">
        <v>109092</v>
      </c>
      <c r="M48">
        <v>34998</v>
      </c>
      <c r="N48">
        <v>24166</v>
      </c>
      <c r="O48">
        <v>235203</v>
      </c>
      <c r="P48" t="s">
        <v>41</v>
      </c>
      <c r="Q48" t="s">
        <v>47</v>
      </c>
      <c r="R48" t="s">
        <v>27</v>
      </c>
    </row>
    <row r="49" spans="1:18" x14ac:dyDescent="0.25">
      <c r="A49" t="s">
        <v>146</v>
      </c>
      <c r="B49" t="s">
        <v>147</v>
      </c>
      <c r="C49">
        <v>4</v>
      </c>
      <c r="D49" t="s">
        <v>37</v>
      </c>
      <c r="E49" t="s">
        <v>30</v>
      </c>
      <c r="F49" t="s">
        <v>22</v>
      </c>
      <c r="G49" t="s">
        <v>23</v>
      </c>
      <c r="H49" s="1">
        <v>45442</v>
      </c>
      <c r="I49" s="1">
        <v>45497</v>
      </c>
      <c r="J49" t="s">
        <v>57</v>
      </c>
      <c r="K49">
        <v>19</v>
      </c>
      <c r="L49">
        <v>191384</v>
      </c>
      <c r="M49">
        <v>44395</v>
      </c>
      <c r="N49">
        <v>26549</v>
      </c>
      <c r="O49">
        <v>203558</v>
      </c>
      <c r="P49" t="s">
        <v>51</v>
      </c>
      <c r="Q49" t="s">
        <v>58</v>
      </c>
      <c r="R49" t="s">
        <v>70</v>
      </c>
    </row>
    <row r="50" spans="1:18" x14ac:dyDescent="0.25">
      <c r="A50" t="s">
        <v>148</v>
      </c>
      <c r="B50" t="s">
        <v>149</v>
      </c>
      <c r="C50">
        <v>89</v>
      </c>
      <c r="D50" t="s">
        <v>20</v>
      </c>
      <c r="E50" t="s">
        <v>50</v>
      </c>
      <c r="F50" t="s">
        <v>31</v>
      </c>
      <c r="G50" t="s">
        <v>39</v>
      </c>
      <c r="H50" s="1">
        <v>45405</v>
      </c>
      <c r="I50" s="1">
        <v>45362</v>
      </c>
      <c r="J50" t="s">
        <v>40</v>
      </c>
      <c r="K50">
        <v>17</v>
      </c>
      <c r="L50">
        <v>146633</v>
      </c>
      <c r="M50">
        <v>25031</v>
      </c>
      <c r="N50">
        <v>26162</v>
      </c>
      <c r="O50">
        <v>144949</v>
      </c>
      <c r="P50" t="s">
        <v>63</v>
      </c>
      <c r="Q50" t="s">
        <v>47</v>
      </c>
      <c r="R50" t="s">
        <v>70</v>
      </c>
    </row>
    <row r="51" spans="1:18" x14ac:dyDescent="0.25">
      <c r="A51" t="s">
        <v>150</v>
      </c>
      <c r="B51" t="s">
        <v>151</v>
      </c>
      <c r="C51">
        <v>60</v>
      </c>
      <c r="D51" t="s">
        <v>37</v>
      </c>
      <c r="E51" t="s">
        <v>69</v>
      </c>
      <c r="F51" t="s">
        <v>31</v>
      </c>
      <c r="G51" t="s">
        <v>80</v>
      </c>
      <c r="H51" s="1">
        <v>45528</v>
      </c>
      <c r="I51" s="1">
        <v>45336</v>
      </c>
      <c r="J51" t="s">
        <v>57</v>
      </c>
      <c r="K51">
        <v>6</v>
      </c>
      <c r="L51">
        <v>152973</v>
      </c>
      <c r="M51">
        <v>11006</v>
      </c>
      <c r="N51">
        <v>12891</v>
      </c>
      <c r="O51">
        <v>47553</v>
      </c>
      <c r="P51" t="s">
        <v>25</v>
      </c>
      <c r="Q51" t="s">
        <v>26</v>
      </c>
      <c r="R51" t="s">
        <v>70</v>
      </c>
    </row>
    <row r="52" spans="1:18" x14ac:dyDescent="0.25">
      <c r="A52" t="s">
        <v>152</v>
      </c>
      <c r="B52" t="s">
        <v>153</v>
      </c>
      <c r="C52">
        <v>14</v>
      </c>
      <c r="D52" t="s">
        <v>37</v>
      </c>
      <c r="E52" t="s">
        <v>69</v>
      </c>
      <c r="F52" t="s">
        <v>38</v>
      </c>
      <c r="G52" t="s">
        <v>80</v>
      </c>
      <c r="H52" s="1">
        <v>45357</v>
      </c>
      <c r="I52" s="1">
        <v>45621</v>
      </c>
      <c r="J52" t="s">
        <v>24</v>
      </c>
      <c r="K52">
        <v>16</v>
      </c>
      <c r="L52">
        <v>100556</v>
      </c>
      <c r="M52">
        <v>38701</v>
      </c>
      <c r="N52">
        <v>2374</v>
      </c>
      <c r="O52">
        <v>143994</v>
      </c>
      <c r="P52" t="s">
        <v>25</v>
      </c>
      <c r="Q52" t="s">
        <v>26</v>
      </c>
      <c r="R52" t="s">
        <v>34</v>
      </c>
    </row>
    <row r="53" spans="1:18" x14ac:dyDescent="0.25">
      <c r="A53" t="s">
        <v>154</v>
      </c>
      <c r="B53" t="s">
        <v>155</v>
      </c>
      <c r="C53">
        <v>9</v>
      </c>
      <c r="D53" t="s">
        <v>37</v>
      </c>
      <c r="E53" t="s">
        <v>50</v>
      </c>
      <c r="F53" t="s">
        <v>75</v>
      </c>
      <c r="G53" t="s">
        <v>80</v>
      </c>
      <c r="H53" s="1">
        <v>45652</v>
      </c>
      <c r="I53" s="1">
        <v>45593</v>
      </c>
      <c r="J53" t="s">
        <v>40</v>
      </c>
      <c r="K53">
        <v>12</v>
      </c>
      <c r="L53">
        <v>67875</v>
      </c>
      <c r="M53">
        <v>48063</v>
      </c>
      <c r="N53">
        <v>9562</v>
      </c>
      <c r="O53">
        <v>130778</v>
      </c>
      <c r="P53" t="s">
        <v>63</v>
      </c>
      <c r="Q53" t="s">
        <v>58</v>
      </c>
      <c r="R53" t="s">
        <v>27</v>
      </c>
    </row>
    <row r="54" spans="1:18" x14ac:dyDescent="0.25">
      <c r="A54" t="s">
        <v>156</v>
      </c>
      <c r="B54" t="s">
        <v>157</v>
      </c>
      <c r="C54">
        <v>53</v>
      </c>
      <c r="D54" t="s">
        <v>37</v>
      </c>
      <c r="E54" t="s">
        <v>30</v>
      </c>
      <c r="F54" t="s">
        <v>75</v>
      </c>
      <c r="G54" t="s">
        <v>39</v>
      </c>
      <c r="H54" s="1">
        <v>45632</v>
      </c>
      <c r="I54" s="1">
        <v>45520</v>
      </c>
      <c r="J54" t="s">
        <v>32</v>
      </c>
      <c r="K54">
        <v>19</v>
      </c>
      <c r="L54">
        <v>161989</v>
      </c>
      <c r="M54">
        <v>26939</v>
      </c>
      <c r="N54">
        <v>5263</v>
      </c>
      <c r="O54">
        <v>125018</v>
      </c>
      <c r="P54" t="s">
        <v>41</v>
      </c>
      <c r="Q54" t="s">
        <v>33</v>
      </c>
      <c r="R54" t="s">
        <v>34</v>
      </c>
    </row>
    <row r="55" spans="1:18" x14ac:dyDescent="0.25">
      <c r="A55" t="s">
        <v>158</v>
      </c>
      <c r="B55" t="s">
        <v>159</v>
      </c>
      <c r="C55">
        <v>2</v>
      </c>
      <c r="D55" t="s">
        <v>20</v>
      </c>
      <c r="E55" t="s">
        <v>50</v>
      </c>
      <c r="F55" t="s">
        <v>46</v>
      </c>
      <c r="G55" t="s">
        <v>23</v>
      </c>
      <c r="H55" s="1">
        <v>45549</v>
      </c>
      <c r="I55" s="1">
        <v>45476</v>
      </c>
      <c r="J55" t="s">
        <v>24</v>
      </c>
      <c r="K55">
        <v>5</v>
      </c>
      <c r="L55">
        <v>67120</v>
      </c>
      <c r="M55">
        <v>21324</v>
      </c>
      <c r="N55">
        <v>10734</v>
      </c>
      <c r="O55">
        <v>143758</v>
      </c>
      <c r="P55" t="s">
        <v>25</v>
      </c>
      <c r="Q55" t="s">
        <v>58</v>
      </c>
      <c r="R55" t="s">
        <v>27</v>
      </c>
    </row>
    <row r="56" spans="1:18" x14ac:dyDescent="0.25">
      <c r="A56" t="s">
        <v>160</v>
      </c>
      <c r="B56" t="s">
        <v>161</v>
      </c>
      <c r="C56">
        <v>84</v>
      </c>
      <c r="D56" t="s">
        <v>20</v>
      </c>
      <c r="E56" t="s">
        <v>30</v>
      </c>
      <c r="F56" t="s">
        <v>31</v>
      </c>
      <c r="G56" t="s">
        <v>39</v>
      </c>
      <c r="H56" s="1">
        <v>45540</v>
      </c>
      <c r="I56" s="1">
        <v>45399</v>
      </c>
      <c r="J56" t="s">
        <v>32</v>
      </c>
      <c r="K56">
        <v>17</v>
      </c>
      <c r="L56">
        <v>138060</v>
      </c>
      <c r="M56">
        <v>23867</v>
      </c>
      <c r="N56">
        <v>25348</v>
      </c>
      <c r="O56">
        <v>40766</v>
      </c>
      <c r="P56" t="s">
        <v>51</v>
      </c>
      <c r="Q56" t="s">
        <v>26</v>
      </c>
      <c r="R56" t="s">
        <v>34</v>
      </c>
    </row>
    <row r="57" spans="1:18" x14ac:dyDescent="0.25">
      <c r="A57" t="s">
        <v>162</v>
      </c>
      <c r="B57" t="s">
        <v>163</v>
      </c>
      <c r="C57">
        <v>60</v>
      </c>
      <c r="D57" t="s">
        <v>37</v>
      </c>
      <c r="E57" t="s">
        <v>30</v>
      </c>
      <c r="F57" t="s">
        <v>38</v>
      </c>
      <c r="G57" t="s">
        <v>39</v>
      </c>
      <c r="H57" s="1">
        <v>45622</v>
      </c>
      <c r="I57" s="1">
        <v>45376</v>
      </c>
      <c r="J57" t="s">
        <v>24</v>
      </c>
      <c r="K57">
        <v>1</v>
      </c>
      <c r="L57">
        <v>115041</v>
      </c>
      <c r="M57">
        <v>1203</v>
      </c>
      <c r="N57">
        <v>9721</v>
      </c>
      <c r="O57">
        <v>219015</v>
      </c>
      <c r="P57" t="s">
        <v>63</v>
      </c>
      <c r="Q57" t="s">
        <v>58</v>
      </c>
      <c r="R57" t="s">
        <v>42</v>
      </c>
    </row>
    <row r="58" spans="1:18" x14ac:dyDescent="0.25">
      <c r="A58" t="s">
        <v>164</v>
      </c>
      <c r="B58" t="s">
        <v>165</v>
      </c>
      <c r="C58">
        <v>71</v>
      </c>
      <c r="D58" t="s">
        <v>37</v>
      </c>
      <c r="E58" t="s">
        <v>45</v>
      </c>
      <c r="F58" t="s">
        <v>22</v>
      </c>
      <c r="G58" t="s">
        <v>23</v>
      </c>
      <c r="H58" s="1">
        <v>45614</v>
      </c>
      <c r="I58" s="1">
        <v>45630</v>
      </c>
      <c r="J58" t="s">
        <v>40</v>
      </c>
      <c r="K58">
        <v>10</v>
      </c>
      <c r="L58">
        <v>133467</v>
      </c>
      <c r="M58">
        <v>17544</v>
      </c>
      <c r="N58">
        <v>11910</v>
      </c>
      <c r="O58">
        <v>40006</v>
      </c>
      <c r="P58" t="s">
        <v>51</v>
      </c>
      <c r="Q58" t="s">
        <v>47</v>
      </c>
      <c r="R58" t="s">
        <v>70</v>
      </c>
    </row>
    <row r="59" spans="1:18" x14ac:dyDescent="0.25">
      <c r="A59" t="s">
        <v>166</v>
      </c>
      <c r="B59" t="s">
        <v>167</v>
      </c>
      <c r="C59">
        <v>44</v>
      </c>
      <c r="D59" t="s">
        <v>37</v>
      </c>
      <c r="E59" t="s">
        <v>30</v>
      </c>
      <c r="F59" t="s">
        <v>31</v>
      </c>
      <c r="G59" t="s">
        <v>80</v>
      </c>
      <c r="H59" s="1">
        <v>45471</v>
      </c>
      <c r="I59" s="1">
        <v>45542</v>
      </c>
      <c r="J59" t="s">
        <v>57</v>
      </c>
      <c r="K59">
        <v>15</v>
      </c>
      <c r="L59">
        <v>150328</v>
      </c>
      <c r="M59">
        <v>16899</v>
      </c>
      <c r="N59">
        <v>15019</v>
      </c>
      <c r="O59">
        <v>39422</v>
      </c>
      <c r="P59" t="s">
        <v>63</v>
      </c>
      <c r="Q59" t="s">
        <v>58</v>
      </c>
      <c r="R59" t="s">
        <v>70</v>
      </c>
    </row>
    <row r="60" spans="1:18" x14ac:dyDescent="0.25">
      <c r="A60" t="s">
        <v>168</v>
      </c>
      <c r="B60" t="s">
        <v>169</v>
      </c>
      <c r="C60">
        <v>8</v>
      </c>
      <c r="D60" t="s">
        <v>20</v>
      </c>
      <c r="E60" t="s">
        <v>21</v>
      </c>
      <c r="F60" t="s">
        <v>38</v>
      </c>
      <c r="G60" t="s">
        <v>80</v>
      </c>
      <c r="H60" s="1">
        <v>45481</v>
      </c>
      <c r="I60" s="1">
        <v>45655</v>
      </c>
      <c r="J60" t="s">
        <v>24</v>
      </c>
      <c r="K60">
        <v>11</v>
      </c>
      <c r="L60">
        <v>123490</v>
      </c>
      <c r="M60">
        <v>30063</v>
      </c>
      <c r="N60">
        <v>29145</v>
      </c>
      <c r="O60">
        <v>124590</v>
      </c>
      <c r="P60" t="s">
        <v>25</v>
      </c>
      <c r="Q60" t="s">
        <v>33</v>
      </c>
      <c r="R60" t="s">
        <v>34</v>
      </c>
    </row>
    <row r="61" spans="1:18" x14ac:dyDescent="0.25">
      <c r="A61" t="s">
        <v>170</v>
      </c>
      <c r="B61" t="s">
        <v>171</v>
      </c>
      <c r="C61">
        <v>47</v>
      </c>
      <c r="D61" t="s">
        <v>37</v>
      </c>
      <c r="E61" t="s">
        <v>30</v>
      </c>
      <c r="F61" t="s">
        <v>38</v>
      </c>
      <c r="G61" t="s">
        <v>39</v>
      </c>
      <c r="H61" s="1">
        <v>45445</v>
      </c>
      <c r="I61" s="1">
        <v>45313</v>
      </c>
      <c r="J61" t="s">
        <v>57</v>
      </c>
      <c r="K61">
        <v>13</v>
      </c>
      <c r="L61">
        <v>131155</v>
      </c>
      <c r="M61">
        <v>26344</v>
      </c>
      <c r="N61">
        <v>1551</v>
      </c>
      <c r="O61">
        <v>20205</v>
      </c>
      <c r="P61" t="s">
        <v>41</v>
      </c>
      <c r="Q61" t="s">
        <v>47</v>
      </c>
      <c r="R61" t="s">
        <v>42</v>
      </c>
    </row>
    <row r="62" spans="1:18" x14ac:dyDescent="0.25">
      <c r="A62" t="s">
        <v>172</v>
      </c>
      <c r="B62" t="s">
        <v>173</v>
      </c>
      <c r="C62">
        <v>35</v>
      </c>
      <c r="D62" t="s">
        <v>37</v>
      </c>
      <c r="E62" t="s">
        <v>30</v>
      </c>
      <c r="F62" t="s">
        <v>66</v>
      </c>
      <c r="G62" t="s">
        <v>80</v>
      </c>
      <c r="H62" s="1">
        <v>45487</v>
      </c>
      <c r="I62" s="1">
        <v>45488</v>
      </c>
      <c r="J62" t="s">
        <v>24</v>
      </c>
      <c r="K62">
        <v>5</v>
      </c>
      <c r="L62">
        <v>33230</v>
      </c>
      <c r="M62">
        <v>4748</v>
      </c>
      <c r="N62">
        <v>12725</v>
      </c>
      <c r="O62">
        <v>225662</v>
      </c>
      <c r="P62" t="s">
        <v>63</v>
      </c>
      <c r="Q62" t="s">
        <v>87</v>
      </c>
      <c r="R62" t="s">
        <v>70</v>
      </c>
    </row>
    <row r="63" spans="1:18" x14ac:dyDescent="0.25">
      <c r="A63" t="s">
        <v>174</v>
      </c>
      <c r="B63" t="s">
        <v>175</v>
      </c>
      <c r="C63">
        <v>78</v>
      </c>
      <c r="D63" t="s">
        <v>20</v>
      </c>
      <c r="E63" t="s">
        <v>30</v>
      </c>
      <c r="F63" t="s">
        <v>22</v>
      </c>
      <c r="G63" t="s">
        <v>39</v>
      </c>
      <c r="H63" s="1">
        <v>45602</v>
      </c>
      <c r="I63" s="1">
        <v>45470</v>
      </c>
      <c r="J63" t="s">
        <v>32</v>
      </c>
      <c r="K63">
        <v>1</v>
      </c>
      <c r="L63">
        <v>64778</v>
      </c>
      <c r="M63">
        <v>40486</v>
      </c>
      <c r="N63">
        <v>10265</v>
      </c>
      <c r="O63">
        <v>162599</v>
      </c>
      <c r="P63" t="s">
        <v>63</v>
      </c>
      <c r="Q63" t="s">
        <v>26</v>
      </c>
      <c r="R63" t="s">
        <v>27</v>
      </c>
    </row>
    <row r="64" spans="1:18" x14ac:dyDescent="0.25">
      <c r="A64" t="s">
        <v>176</v>
      </c>
      <c r="B64" t="s">
        <v>177</v>
      </c>
      <c r="C64">
        <v>81</v>
      </c>
      <c r="D64" t="s">
        <v>20</v>
      </c>
      <c r="E64" t="s">
        <v>69</v>
      </c>
      <c r="F64" t="s">
        <v>66</v>
      </c>
      <c r="G64" t="s">
        <v>39</v>
      </c>
      <c r="H64" s="1">
        <v>45553</v>
      </c>
      <c r="I64" s="1">
        <v>45299</v>
      </c>
      <c r="J64" t="s">
        <v>32</v>
      </c>
      <c r="K64">
        <v>12</v>
      </c>
      <c r="L64">
        <v>50833</v>
      </c>
      <c r="M64">
        <v>2093</v>
      </c>
      <c r="N64">
        <v>11882</v>
      </c>
      <c r="O64">
        <v>157515</v>
      </c>
      <c r="P64" t="s">
        <v>51</v>
      </c>
      <c r="Q64" t="s">
        <v>26</v>
      </c>
      <c r="R64" t="s">
        <v>34</v>
      </c>
    </row>
    <row r="65" spans="1:18" x14ac:dyDescent="0.25">
      <c r="A65" t="s">
        <v>178</v>
      </c>
      <c r="B65" t="s">
        <v>179</v>
      </c>
      <c r="C65">
        <v>36</v>
      </c>
      <c r="D65" t="s">
        <v>37</v>
      </c>
      <c r="E65" t="s">
        <v>21</v>
      </c>
      <c r="F65" t="s">
        <v>46</v>
      </c>
      <c r="G65" t="s">
        <v>23</v>
      </c>
      <c r="H65" s="1">
        <v>45434</v>
      </c>
      <c r="I65" s="1">
        <v>45362</v>
      </c>
      <c r="J65" t="s">
        <v>24</v>
      </c>
      <c r="K65">
        <v>11</v>
      </c>
      <c r="L65">
        <v>27625</v>
      </c>
      <c r="M65">
        <v>16228</v>
      </c>
      <c r="N65">
        <v>13080</v>
      </c>
      <c r="O65">
        <v>155596</v>
      </c>
      <c r="P65" t="s">
        <v>25</v>
      </c>
      <c r="Q65" t="s">
        <v>58</v>
      </c>
      <c r="R65" t="s">
        <v>70</v>
      </c>
    </row>
    <row r="66" spans="1:18" x14ac:dyDescent="0.25">
      <c r="A66" t="s">
        <v>180</v>
      </c>
      <c r="B66" t="s">
        <v>181</v>
      </c>
      <c r="C66">
        <v>50</v>
      </c>
      <c r="D66" t="s">
        <v>20</v>
      </c>
      <c r="E66" t="s">
        <v>21</v>
      </c>
      <c r="F66" t="s">
        <v>66</v>
      </c>
      <c r="G66" t="s">
        <v>23</v>
      </c>
      <c r="H66" s="1">
        <v>45633</v>
      </c>
      <c r="I66" s="1">
        <v>45419</v>
      </c>
      <c r="J66" t="s">
        <v>57</v>
      </c>
      <c r="K66">
        <v>17</v>
      </c>
      <c r="L66">
        <v>37088</v>
      </c>
      <c r="M66">
        <v>21884</v>
      </c>
      <c r="N66">
        <v>24422</v>
      </c>
      <c r="O66">
        <v>124477</v>
      </c>
      <c r="P66" t="s">
        <v>51</v>
      </c>
      <c r="Q66" t="s">
        <v>47</v>
      </c>
      <c r="R66" t="s">
        <v>70</v>
      </c>
    </row>
    <row r="67" spans="1:18" x14ac:dyDescent="0.25">
      <c r="A67" t="s">
        <v>182</v>
      </c>
      <c r="B67" t="s">
        <v>183</v>
      </c>
      <c r="C67">
        <v>4</v>
      </c>
      <c r="D67" t="s">
        <v>20</v>
      </c>
      <c r="E67" t="s">
        <v>50</v>
      </c>
      <c r="F67" t="s">
        <v>66</v>
      </c>
      <c r="G67" t="s">
        <v>23</v>
      </c>
      <c r="H67" s="1">
        <v>45607</v>
      </c>
      <c r="I67" s="1">
        <v>45452</v>
      </c>
      <c r="J67" t="s">
        <v>40</v>
      </c>
      <c r="K67">
        <v>4</v>
      </c>
      <c r="L67">
        <v>177239</v>
      </c>
      <c r="M67">
        <v>26183</v>
      </c>
      <c r="N67">
        <v>24295</v>
      </c>
      <c r="O67">
        <v>36202</v>
      </c>
      <c r="P67" t="s">
        <v>25</v>
      </c>
      <c r="Q67" t="s">
        <v>87</v>
      </c>
      <c r="R67" t="s">
        <v>34</v>
      </c>
    </row>
    <row r="68" spans="1:18" x14ac:dyDescent="0.25">
      <c r="A68" t="s">
        <v>184</v>
      </c>
      <c r="B68" t="s">
        <v>185</v>
      </c>
      <c r="C68">
        <v>2</v>
      </c>
      <c r="D68" t="s">
        <v>37</v>
      </c>
      <c r="E68" t="s">
        <v>45</v>
      </c>
      <c r="F68" t="s">
        <v>31</v>
      </c>
      <c r="G68" t="s">
        <v>39</v>
      </c>
      <c r="H68" s="1">
        <v>45392</v>
      </c>
      <c r="I68" s="1">
        <v>45540</v>
      </c>
      <c r="J68" t="s">
        <v>40</v>
      </c>
      <c r="K68">
        <v>15</v>
      </c>
      <c r="L68">
        <v>108937</v>
      </c>
      <c r="M68">
        <v>17034</v>
      </c>
      <c r="N68">
        <v>12489</v>
      </c>
      <c r="O68">
        <v>204624</v>
      </c>
      <c r="P68" t="s">
        <v>51</v>
      </c>
      <c r="Q68" t="s">
        <v>47</v>
      </c>
      <c r="R68" t="s">
        <v>34</v>
      </c>
    </row>
    <row r="69" spans="1:18" x14ac:dyDescent="0.25">
      <c r="A69" t="s">
        <v>186</v>
      </c>
      <c r="B69" t="s">
        <v>187</v>
      </c>
      <c r="C69">
        <v>6</v>
      </c>
      <c r="D69" t="s">
        <v>20</v>
      </c>
      <c r="E69" t="s">
        <v>30</v>
      </c>
      <c r="F69" t="s">
        <v>75</v>
      </c>
      <c r="G69" t="s">
        <v>23</v>
      </c>
      <c r="H69" s="1">
        <v>45535</v>
      </c>
      <c r="I69" s="1">
        <v>45495</v>
      </c>
      <c r="J69" t="s">
        <v>32</v>
      </c>
      <c r="K69">
        <v>9</v>
      </c>
      <c r="L69">
        <v>81361</v>
      </c>
      <c r="M69">
        <v>6710</v>
      </c>
      <c r="N69">
        <v>28365</v>
      </c>
      <c r="O69">
        <v>185214</v>
      </c>
      <c r="P69" t="s">
        <v>63</v>
      </c>
      <c r="Q69" t="s">
        <v>26</v>
      </c>
      <c r="R69" t="s">
        <v>27</v>
      </c>
    </row>
    <row r="70" spans="1:18" x14ac:dyDescent="0.25">
      <c r="A70" t="s">
        <v>188</v>
      </c>
      <c r="B70" t="s">
        <v>189</v>
      </c>
      <c r="C70">
        <v>54</v>
      </c>
      <c r="D70" t="s">
        <v>37</v>
      </c>
      <c r="E70" t="s">
        <v>54</v>
      </c>
      <c r="F70" t="s">
        <v>38</v>
      </c>
      <c r="G70" t="s">
        <v>80</v>
      </c>
      <c r="H70" s="1">
        <v>45303</v>
      </c>
      <c r="I70" s="1">
        <v>45440</v>
      </c>
      <c r="J70" t="s">
        <v>40</v>
      </c>
      <c r="K70">
        <v>19</v>
      </c>
      <c r="L70">
        <v>93229</v>
      </c>
      <c r="M70">
        <v>43500</v>
      </c>
      <c r="N70">
        <v>23204</v>
      </c>
      <c r="O70">
        <v>69692</v>
      </c>
      <c r="P70" t="s">
        <v>51</v>
      </c>
      <c r="Q70" t="s">
        <v>47</v>
      </c>
      <c r="R70" t="s">
        <v>27</v>
      </c>
    </row>
    <row r="71" spans="1:18" x14ac:dyDescent="0.25">
      <c r="A71" t="s">
        <v>190</v>
      </c>
      <c r="B71" t="s">
        <v>191</v>
      </c>
      <c r="C71">
        <v>4</v>
      </c>
      <c r="D71" t="s">
        <v>20</v>
      </c>
      <c r="E71" t="s">
        <v>45</v>
      </c>
      <c r="F71" t="s">
        <v>22</v>
      </c>
      <c r="G71" t="s">
        <v>80</v>
      </c>
      <c r="H71" s="1">
        <v>45530</v>
      </c>
      <c r="I71" s="1">
        <v>45435</v>
      </c>
      <c r="J71" t="s">
        <v>32</v>
      </c>
      <c r="K71">
        <v>19</v>
      </c>
      <c r="L71">
        <v>140189</v>
      </c>
      <c r="M71">
        <v>20259</v>
      </c>
      <c r="N71">
        <v>12439</v>
      </c>
      <c r="O71">
        <v>221456</v>
      </c>
      <c r="P71" t="s">
        <v>41</v>
      </c>
      <c r="Q71" t="s">
        <v>87</v>
      </c>
      <c r="R71" t="s">
        <v>70</v>
      </c>
    </row>
    <row r="72" spans="1:18" x14ac:dyDescent="0.25">
      <c r="A72" t="s">
        <v>192</v>
      </c>
      <c r="B72" t="s">
        <v>193</v>
      </c>
      <c r="C72">
        <v>54</v>
      </c>
      <c r="D72" t="s">
        <v>37</v>
      </c>
      <c r="E72" t="s">
        <v>45</v>
      </c>
      <c r="F72" t="s">
        <v>66</v>
      </c>
      <c r="G72" t="s">
        <v>39</v>
      </c>
      <c r="H72" s="1">
        <v>45340</v>
      </c>
      <c r="I72" s="1">
        <v>45491</v>
      </c>
      <c r="J72" t="s">
        <v>40</v>
      </c>
      <c r="K72">
        <v>12</v>
      </c>
      <c r="L72">
        <v>95265</v>
      </c>
      <c r="M72">
        <v>36959</v>
      </c>
      <c r="N72">
        <v>18989</v>
      </c>
      <c r="O72">
        <v>28855</v>
      </c>
      <c r="P72" t="s">
        <v>25</v>
      </c>
      <c r="Q72" t="s">
        <v>58</v>
      </c>
      <c r="R72" t="s">
        <v>70</v>
      </c>
    </row>
    <row r="73" spans="1:18" x14ac:dyDescent="0.25">
      <c r="A73" t="s">
        <v>194</v>
      </c>
      <c r="B73" t="s">
        <v>195</v>
      </c>
      <c r="C73">
        <v>63</v>
      </c>
      <c r="D73" t="s">
        <v>37</v>
      </c>
      <c r="E73" t="s">
        <v>21</v>
      </c>
      <c r="F73" t="s">
        <v>22</v>
      </c>
      <c r="G73" t="s">
        <v>39</v>
      </c>
      <c r="H73" s="1">
        <v>45333</v>
      </c>
      <c r="I73" s="1">
        <v>45446</v>
      </c>
      <c r="J73" t="s">
        <v>24</v>
      </c>
      <c r="K73">
        <v>5</v>
      </c>
      <c r="L73">
        <v>102718</v>
      </c>
      <c r="M73">
        <v>34457</v>
      </c>
      <c r="N73">
        <v>807</v>
      </c>
      <c r="O73">
        <v>222819</v>
      </c>
      <c r="P73" t="s">
        <v>25</v>
      </c>
      <c r="Q73" t="s">
        <v>33</v>
      </c>
      <c r="R73" t="s">
        <v>34</v>
      </c>
    </row>
    <row r="74" spans="1:18" x14ac:dyDescent="0.25">
      <c r="A74" t="s">
        <v>196</v>
      </c>
      <c r="B74" t="s">
        <v>197</v>
      </c>
      <c r="C74">
        <v>18</v>
      </c>
      <c r="D74" t="s">
        <v>37</v>
      </c>
      <c r="E74" t="s">
        <v>45</v>
      </c>
      <c r="F74" t="s">
        <v>75</v>
      </c>
      <c r="G74" t="s">
        <v>23</v>
      </c>
      <c r="H74" s="1">
        <v>45457</v>
      </c>
      <c r="I74" s="1">
        <v>45434</v>
      </c>
      <c r="J74" t="s">
        <v>32</v>
      </c>
      <c r="K74">
        <v>10</v>
      </c>
      <c r="L74">
        <v>65710</v>
      </c>
      <c r="M74">
        <v>21143</v>
      </c>
      <c r="N74">
        <v>24621</v>
      </c>
      <c r="O74">
        <v>199444</v>
      </c>
      <c r="P74" t="s">
        <v>63</v>
      </c>
      <c r="Q74" t="s">
        <v>47</v>
      </c>
      <c r="R74" t="s">
        <v>70</v>
      </c>
    </row>
    <row r="75" spans="1:18" x14ac:dyDescent="0.25">
      <c r="A75" t="s">
        <v>198</v>
      </c>
      <c r="B75" t="s">
        <v>199</v>
      </c>
      <c r="C75">
        <v>44</v>
      </c>
      <c r="D75" t="s">
        <v>20</v>
      </c>
      <c r="E75" t="s">
        <v>30</v>
      </c>
      <c r="F75" t="s">
        <v>75</v>
      </c>
      <c r="G75" t="s">
        <v>39</v>
      </c>
      <c r="H75" s="1">
        <v>45373</v>
      </c>
      <c r="I75" s="1">
        <v>45605</v>
      </c>
      <c r="J75" t="s">
        <v>32</v>
      </c>
      <c r="K75">
        <v>17</v>
      </c>
      <c r="L75">
        <v>99876</v>
      </c>
      <c r="M75">
        <v>3103</v>
      </c>
      <c r="N75">
        <v>3859</v>
      </c>
      <c r="O75">
        <v>33095</v>
      </c>
      <c r="P75" t="s">
        <v>25</v>
      </c>
      <c r="Q75" t="s">
        <v>33</v>
      </c>
      <c r="R75" t="s">
        <v>70</v>
      </c>
    </row>
    <row r="76" spans="1:18" x14ac:dyDescent="0.25">
      <c r="A76" t="s">
        <v>200</v>
      </c>
      <c r="B76" t="s">
        <v>201</v>
      </c>
      <c r="C76">
        <v>34</v>
      </c>
      <c r="D76" t="s">
        <v>37</v>
      </c>
      <c r="E76" t="s">
        <v>30</v>
      </c>
      <c r="F76" t="s">
        <v>66</v>
      </c>
      <c r="G76" t="s">
        <v>39</v>
      </c>
      <c r="H76" s="1">
        <v>45582</v>
      </c>
      <c r="I76" s="1">
        <v>45457</v>
      </c>
      <c r="J76" t="s">
        <v>24</v>
      </c>
      <c r="K76">
        <v>5</v>
      </c>
      <c r="L76">
        <v>35949</v>
      </c>
      <c r="M76">
        <v>1365</v>
      </c>
      <c r="N76">
        <v>3676</v>
      </c>
      <c r="O76">
        <v>177796</v>
      </c>
      <c r="P76" t="s">
        <v>41</v>
      </c>
      <c r="Q76" t="s">
        <v>26</v>
      </c>
      <c r="R76" t="s">
        <v>34</v>
      </c>
    </row>
    <row r="77" spans="1:18" x14ac:dyDescent="0.25">
      <c r="A77" t="s">
        <v>202</v>
      </c>
      <c r="B77" t="s">
        <v>203</v>
      </c>
      <c r="C77">
        <v>74</v>
      </c>
      <c r="D77" t="s">
        <v>20</v>
      </c>
      <c r="E77" t="s">
        <v>69</v>
      </c>
      <c r="F77" t="s">
        <v>46</v>
      </c>
      <c r="G77" t="s">
        <v>80</v>
      </c>
      <c r="H77" s="1">
        <v>45449</v>
      </c>
      <c r="I77" s="1">
        <v>45606</v>
      </c>
      <c r="J77" t="s">
        <v>32</v>
      </c>
      <c r="K77">
        <v>16</v>
      </c>
      <c r="L77">
        <v>158619</v>
      </c>
      <c r="M77">
        <v>47778</v>
      </c>
      <c r="N77">
        <v>1751</v>
      </c>
      <c r="O77">
        <v>57241</v>
      </c>
      <c r="P77" t="s">
        <v>51</v>
      </c>
      <c r="Q77" t="s">
        <v>58</v>
      </c>
      <c r="R77" t="s">
        <v>70</v>
      </c>
    </row>
    <row r="78" spans="1:18" x14ac:dyDescent="0.25">
      <c r="A78" t="s">
        <v>204</v>
      </c>
      <c r="B78" t="s">
        <v>205</v>
      </c>
      <c r="C78">
        <v>62</v>
      </c>
      <c r="D78" t="s">
        <v>37</v>
      </c>
      <c r="E78" t="s">
        <v>30</v>
      </c>
      <c r="F78" t="s">
        <v>66</v>
      </c>
      <c r="G78" t="s">
        <v>80</v>
      </c>
      <c r="H78" s="1">
        <v>45507</v>
      </c>
      <c r="I78" s="1">
        <v>45313</v>
      </c>
      <c r="J78" t="s">
        <v>40</v>
      </c>
      <c r="K78">
        <v>7</v>
      </c>
      <c r="L78">
        <v>73136</v>
      </c>
      <c r="M78">
        <v>45535</v>
      </c>
      <c r="N78">
        <v>5866</v>
      </c>
      <c r="O78">
        <v>111119</v>
      </c>
      <c r="P78" t="s">
        <v>63</v>
      </c>
      <c r="Q78" t="s">
        <v>58</v>
      </c>
      <c r="R78" t="s">
        <v>70</v>
      </c>
    </row>
    <row r="79" spans="1:18" x14ac:dyDescent="0.25">
      <c r="A79" t="s">
        <v>206</v>
      </c>
      <c r="B79" t="s">
        <v>207</v>
      </c>
      <c r="C79">
        <v>14</v>
      </c>
      <c r="D79" t="s">
        <v>37</v>
      </c>
      <c r="E79" t="s">
        <v>30</v>
      </c>
      <c r="F79" t="s">
        <v>31</v>
      </c>
      <c r="G79" t="s">
        <v>23</v>
      </c>
      <c r="H79" s="1">
        <v>45449</v>
      </c>
      <c r="I79" s="1">
        <v>45374</v>
      </c>
      <c r="J79" t="s">
        <v>40</v>
      </c>
      <c r="K79">
        <v>9</v>
      </c>
      <c r="L79">
        <v>116541</v>
      </c>
      <c r="M79">
        <v>17103</v>
      </c>
      <c r="N79">
        <v>27823</v>
      </c>
      <c r="O79">
        <v>60003</v>
      </c>
      <c r="P79" t="s">
        <v>41</v>
      </c>
      <c r="Q79" t="s">
        <v>47</v>
      </c>
      <c r="R79" t="s">
        <v>42</v>
      </c>
    </row>
    <row r="80" spans="1:18" x14ac:dyDescent="0.25">
      <c r="A80" t="s">
        <v>208</v>
      </c>
      <c r="B80" t="s">
        <v>209</v>
      </c>
      <c r="C80">
        <v>48</v>
      </c>
      <c r="D80" t="s">
        <v>20</v>
      </c>
      <c r="E80" t="s">
        <v>21</v>
      </c>
      <c r="F80" t="s">
        <v>38</v>
      </c>
      <c r="G80" t="s">
        <v>39</v>
      </c>
      <c r="H80" s="1">
        <v>45425</v>
      </c>
      <c r="I80" s="1">
        <v>45361</v>
      </c>
      <c r="J80" t="s">
        <v>32</v>
      </c>
      <c r="K80">
        <v>3</v>
      </c>
      <c r="L80">
        <v>66842</v>
      </c>
      <c r="M80">
        <v>33510</v>
      </c>
      <c r="N80">
        <v>18401</v>
      </c>
      <c r="O80">
        <v>207451</v>
      </c>
      <c r="P80" t="s">
        <v>25</v>
      </c>
      <c r="Q80" t="s">
        <v>58</v>
      </c>
      <c r="R80" t="s">
        <v>27</v>
      </c>
    </row>
    <row r="81" spans="1:18" x14ac:dyDescent="0.25">
      <c r="A81" t="s">
        <v>210</v>
      </c>
      <c r="B81" t="s">
        <v>211</v>
      </c>
      <c r="C81">
        <v>15</v>
      </c>
      <c r="D81" t="s">
        <v>37</v>
      </c>
      <c r="E81" t="s">
        <v>30</v>
      </c>
      <c r="F81" t="s">
        <v>46</v>
      </c>
      <c r="G81" t="s">
        <v>39</v>
      </c>
      <c r="H81" s="1">
        <v>45358</v>
      </c>
      <c r="I81" s="1">
        <v>45423</v>
      </c>
      <c r="J81" t="s">
        <v>40</v>
      </c>
      <c r="K81">
        <v>15</v>
      </c>
      <c r="L81">
        <v>31990</v>
      </c>
      <c r="M81">
        <v>25476</v>
      </c>
      <c r="N81">
        <v>6726</v>
      </c>
      <c r="O81">
        <v>102837</v>
      </c>
      <c r="P81" t="s">
        <v>25</v>
      </c>
      <c r="Q81" t="s">
        <v>47</v>
      </c>
      <c r="R81" t="s">
        <v>34</v>
      </c>
    </row>
    <row r="82" spans="1:18" x14ac:dyDescent="0.25">
      <c r="A82" t="s">
        <v>212</v>
      </c>
      <c r="B82" t="s">
        <v>213</v>
      </c>
      <c r="C82">
        <v>72</v>
      </c>
      <c r="D82" t="s">
        <v>37</v>
      </c>
      <c r="E82" t="s">
        <v>69</v>
      </c>
      <c r="F82" t="s">
        <v>66</v>
      </c>
      <c r="G82" t="s">
        <v>80</v>
      </c>
      <c r="H82" s="1">
        <v>45627</v>
      </c>
      <c r="I82" s="1">
        <v>45379</v>
      </c>
      <c r="J82" t="s">
        <v>57</v>
      </c>
      <c r="K82">
        <v>16</v>
      </c>
      <c r="L82">
        <v>152265</v>
      </c>
      <c r="M82">
        <v>13742</v>
      </c>
      <c r="N82">
        <v>22189</v>
      </c>
      <c r="O82">
        <v>231068</v>
      </c>
      <c r="P82" t="s">
        <v>41</v>
      </c>
      <c r="Q82" t="s">
        <v>47</v>
      </c>
      <c r="R82" t="s">
        <v>42</v>
      </c>
    </row>
    <row r="83" spans="1:18" x14ac:dyDescent="0.25">
      <c r="A83" t="s">
        <v>214</v>
      </c>
      <c r="B83" t="s">
        <v>215</v>
      </c>
      <c r="C83">
        <v>78</v>
      </c>
      <c r="D83" t="s">
        <v>20</v>
      </c>
      <c r="E83" t="s">
        <v>54</v>
      </c>
      <c r="F83" t="s">
        <v>22</v>
      </c>
      <c r="G83" t="s">
        <v>39</v>
      </c>
      <c r="H83" s="1">
        <v>45298</v>
      </c>
      <c r="I83" s="1">
        <v>45510</v>
      </c>
      <c r="J83" t="s">
        <v>32</v>
      </c>
      <c r="K83">
        <v>18</v>
      </c>
      <c r="L83">
        <v>35109</v>
      </c>
      <c r="M83">
        <v>13391</v>
      </c>
      <c r="N83">
        <v>26454</v>
      </c>
      <c r="O83">
        <v>236526</v>
      </c>
      <c r="P83" t="s">
        <v>51</v>
      </c>
      <c r="Q83" t="s">
        <v>33</v>
      </c>
      <c r="R83" t="s">
        <v>27</v>
      </c>
    </row>
    <row r="84" spans="1:18" x14ac:dyDescent="0.25">
      <c r="A84" t="s">
        <v>216</v>
      </c>
      <c r="B84" t="s">
        <v>217</v>
      </c>
      <c r="C84">
        <v>87</v>
      </c>
      <c r="D84" t="s">
        <v>37</v>
      </c>
      <c r="E84" t="s">
        <v>21</v>
      </c>
      <c r="F84" t="s">
        <v>46</v>
      </c>
      <c r="G84" t="s">
        <v>80</v>
      </c>
      <c r="H84" s="1">
        <v>45305</v>
      </c>
      <c r="I84" s="1">
        <v>45597</v>
      </c>
      <c r="J84" t="s">
        <v>24</v>
      </c>
      <c r="K84">
        <v>14</v>
      </c>
      <c r="L84">
        <v>135356</v>
      </c>
      <c r="M84">
        <v>37940</v>
      </c>
      <c r="N84">
        <v>22753</v>
      </c>
      <c r="O84">
        <v>102283</v>
      </c>
      <c r="P84" t="s">
        <v>51</v>
      </c>
      <c r="Q84" t="s">
        <v>58</v>
      </c>
      <c r="R84" t="s">
        <v>27</v>
      </c>
    </row>
    <row r="85" spans="1:18" x14ac:dyDescent="0.25">
      <c r="A85" t="s">
        <v>218</v>
      </c>
      <c r="B85" t="s">
        <v>219</v>
      </c>
      <c r="C85">
        <v>62</v>
      </c>
      <c r="D85" t="s">
        <v>37</v>
      </c>
      <c r="E85" t="s">
        <v>54</v>
      </c>
      <c r="F85" t="s">
        <v>46</v>
      </c>
      <c r="G85" t="s">
        <v>23</v>
      </c>
      <c r="H85" s="1">
        <v>45364</v>
      </c>
      <c r="I85" s="1">
        <v>45637</v>
      </c>
      <c r="J85" t="s">
        <v>57</v>
      </c>
      <c r="K85">
        <v>3</v>
      </c>
      <c r="L85">
        <v>155305</v>
      </c>
      <c r="M85">
        <v>29901</v>
      </c>
      <c r="N85">
        <v>24923</v>
      </c>
      <c r="O85">
        <v>155044</v>
      </c>
      <c r="P85" t="s">
        <v>63</v>
      </c>
      <c r="Q85" t="s">
        <v>47</v>
      </c>
      <c r="R85" t="s">
        <v>27</v>
      </c>
    </row>
    <row r="86" spans="1:18" x14ac:dyDescent="0.25">
      <c r="A86" t="s">
        <v>220</v>
      </c>
      <c r="B86" t="s">
        <v>221</v>
      </c>
      <c r="C86">
        <v>40</v>
      </c>
      <c r="D86" t="s">
        <v>37</v>
      </c>
      <c r="E86" t="s">
        <v>21</v>
      </c>
      <c r="F86" t="s">
        <v>66</v>
      </c>
      <c r="G86" t="s">
        <v>80</v>
      </c>
      <c r="H86" s="1">
        <v>45454</v>
      </c>
      <c r="I86" s="1">
        <v>45633</v>
      </c>
      <c r="J86" t="s">
        <v>32</v>
      </c>
      <c r="K86">
        <v>12</v>
      </c>
      <c r="L86">
        <v>133133</v>
      </c>
      <c r="M86">
        <v>33001</v>
      </c>
      <c r="N86">
        <v>14830</v>
      </c>
      <c r="O86">
        <v>131805</v>
      </c>
      <c r="P86" t="s">
        <v>25</v>
      </c>
      <c r="Q86" t="s">
        <v>33</v>
      </c>
      <c r="R86" t="s">
        <v>42</v>
      </c>
    </row>
    <row r="87" spans="1:18" x14ac:dyDescent="0.25">
      <c r="A87" t="s">
        <v>222</v>
      </c>
      <c r="B87" t="s">
        <v>223</v>
      </c>
      <c r="C87">
        <v>85</v>
      </c>
      <c r="D87" t="s">
        <v>37</v>
      </c>
      <c r="E87" t="s">
        <v>50</v>
      </c>
      <c r="F87" t="s">
        <v>46</v>
      </c>
      <c r="G87" t="s">
        <v>39</v>
      </c>
      <c r="H87" s="1">
        <v>45357</v>
      </c>
      <c r="I87" s="1">
        <v>45453</v>
      </c>
      <c r="J87" t="s">
        <v>24</v>
      </c>
      <c r="K87">
        <v>9</v>
      </c>
      <c r="L87">
        <v>170582</v>
      </c>
      <c r="M87">
        <v>16623</v>
      </c>
      <c r="N87">
        <v>5391</v>
      </c>
      <c r="O87">
        <v>101846</v>
      </c>
      <c r="P87" t="s">
        <v>41</v>
      </c>
      <c r="Q87" t="s">
        <v>87</v>
      </c>
      <c r="R87" t="s">
        <v>42</v>
      </c>
    </row>
    <row r="88" spans="1:18" x14ac:dyDescent="0.25">
      <c r="A88" t="s">
        <v>224</v>
      </c>
      <c r="B88" t="s">
        <v>225</v>
      </c>
      <c r="C88">
        <v>80</v>
      </c>
      <c r="D88" t="s">
        <v>20</v>
      </c>
      <c r="E88" t="s">
        <v>45</v>
      </c>
      <c r="F88" t="s">
        <v>22</v>
      </c>
      <c r="G88" t="s">
        <v>23</v>
      </c>
      <c r="H88" s="1">
        <v>45638</v>
      </c>
      <c r="I88" s="1">
        <v>45470</v>
      </c>
      <c r="J88" t="s">
        <v>40</v>
      </c>
      <c r="K88">
        <v>7</v>
      </c>
      <c r="L88">
        <v>6306</v>
      </c>
      <c r="M88">
        <v>3378</v>
      </c>
      <c r="N88">
        <v>5492</v>
      </c>
      <c r="O88">
        <v>30927</v>
      </c>
      <c r="P88" t="s">
        <v>51</v>
      </c>
      <c r="Q88" t="s">
        <v>33</v>
      </c>
      <c r="R88" t="s">
        <v>27</v>
      </c>
    </row>
    <row r="89" spans="1:18" x14ac:dyDescent="0.25">
      <c r="A89" t="s">
        <v>226</v>
      </c>
      <c r="B89" t="s">
        <v>227</v>
      </c>
      <c r="C89">
        <v>82</v>
      </c>
      <c r="D89" t="s">
        <v>20</v>
      </c>
      <c r="E89" t="s">
        <v>50</v>
      </c>
      <c r="F89" t="s">
        <v>75</v>
      </c>
      <c r="G89" t="s">
        <v>80</v>
      </c>
      <c r="H89" s="1">
        <v>45421</v>
      </c>
      <c r="I89" s="1">
        <v>45409</v>
      </c>
      <c r="J89" t="s">
        <v>24</v>
      </c>
      <c r="K89">
        <v>9</v>
      </c>
      <c r="L89">
        <v>8849</v>
      </c>
      <c r="M89">
        <v>22372</v>
      </c>
      <c r="N89">
        <v>2461</v>
      </c>
      <c r="O89">
        <v>128589</v>
      </c>
      <c r="P89" t="s">
        <v>63</v>
      </c>
      <c r="Q89" t="s">
        <v>33</v>
      </c>
      <c r="R89" t="s">
        <v>70</v>
      </c>
    </row>
    <row r="90" spans="1:18" x14ac:dyDescent="0.25">
      <c r="A90" t="s">
        <v>228</v>
      </c>
      <c r="B90" t="s">
        <v>229</v>
      </c>
      <c r="C90">
        <v>53</v>
      </c>
      <c r="D90" t="s">
        <v>37</v>
      </c>
      <c r="E90" t="s">
        <v>30</v>
      </c>
      <c r="F90" t="s">
        <v>46</v>
      </c>
      <c r="G90" t="s">
        <v>80</v>
      </c>
      <c r="H90" s="1">
        <v>45497</v>
      </c>
      <c r="I90" s="1">
        <v>45488</v>
      </c>
      <c r="J90" t="s">
        <v>57</v>
      </c>
      <c r="K90">
        <v>13</v>
      </c>
      <c r="L90">
        <v>17360</v>
      </c>
      <c r="M90">
        <v>45799</v>
      </c>
      <c r="N90">
        <v>12997</v>
      </c>
      <c r="O90">
        <v>123657</v>
      </c>
      <c r="P90" t="s">
        <v>25</v>
      </c>
      <c r="Q90" t="s">
        <v>47</v>
      </c>
      <c r="R90" t="s">
        <v>70</v>
      </c>
    </row>
    <row r="91" spans="1:18" x14ac:dyDescent="0.25">
      <c r="A91" t="s">
        <v>230</v>
      </c>
      <c r="B91" t="s">
        <v>231</v>
      </c>
      <c r="C91">
        <v>24</v>
      </c>
      <c r="D91" t="s">
        <v>20</v>
      </c>
      <c r="E91" t="s">
        <v>54</v>
      </c>
      <c r="F91" t="s">
        <v>75</v>
      </c>
      <c r="G91" t="s">
        <v>23</v>
      </c>
      <c r="H91" s="1">
        <v>45567</v>
      </c>
      <c r="I91" s="1">
        <v>45619</v>
      </c>
      <c r="J91" t="s">
        <v>40</v>
      </c>
      <c r="K91">
        <v>18</v>
      </c>
      <c r="L91">
        <v>116072</v>
      </c>
      <c r="M91">
        <v>39437</v>
      </c>
      <c r="N91">
        <v>19747</v>
      </c>
      <c r="O91">
        <v>74630</v>
      </c>
      <c r="P91" t="s">
        <v>25</v>
      </c>
      <c r="Q91" t="s">
        <v>26</v>
      </c>
      <c r="R91" t="s">
        <v>42</v>
      </c>
    </row>
    <row r="92" spans="1:18" x14ac:dyDescent="0.25">
      <c r="A92" t="s">
        <v>232</v>
      </c>
      <c r="B92" t="s">
        <v>233</v>
      </c>
      <c r="C92">
        <v>26</v>
      </c>
      <c r="D92" t="s">
        <v>37</v>
      </c>
      <c r="E92" t="s">
        <v>30</v>
      </c>
      <c r="F92" t="s">
        <v>22</v>
      </c>
      <c r="G92" t="s">
        <v>23</v>
      </c>
      <c r="H92" s="1">
        <v>45547</v>
      </c>
      <c r="I92" s="1">
        <v>45378</v>
      </c>
      <c r="J92" t="s">
        <v>32</v>
      </c>
      <c r="K92">
        <v>5</v>
      </c>
      <c r="L92">
        <v>99767</v>
      </c>
      <c r="M92">
        <v>36503</v>
      </c>
      <c r="N92">
        <v>11348</v>
      </c>
      <c r="O92">
        <v>112428</v>
      </c>
      <c r="P92" t="s">
        <v>63</v>
      </c>
      <c r="Q92" t="s">
        <v>26</v>
      </c>
      <c r="R92" t="s">
        <v>42</v>
      </c>
    </row>
    <row r="93" spans="1:18" x14ac:dyDescent="0.25">
      <c r="A93" t="s">
        <v>234</v>
      </c>
      <c r="B93" t="s">
        <v>235</v>
      </c>
      <c r="C93">
        <v>89</v>
      </c>
      <c r="D93" t="s">
        <v>20</v>
      </c>
      <c r="E93" t="s">
        <v>45</v>
      </c>
      <c r="F93" t="s">
        <v>66</v>
      </c>
      <c r="G93" t="s">
        <v>80</v>
      </c>
      <c r="H93" s="1">
        <v>45557</v>
      </c>
      <c r="I93" s="1">
        <v>45581</v>
      </c>
      <c r="J93" t="s">
        <v>40</v>
      </c>
      <c r="K93">
        <v>13</v>
      </c>
      <c r="L93">
        <v>181872</v>
      </c>
      <c r="M93">
        <v>31746</v>
      </c>
      <c r="N93">
        <v>27570</v>
      </c>
      <c r="O93">
        <v>130035</v>
      </c>
      <c r="P93" t="s">
        <v>63</v>
      </c>
      <c r="Q93" t="s">
        <v>26</v>
      </c>
      <c r="R93" t="s">
        <v>42</v>
      </c>
    </row>
    <row r="94" spans="1:18" x14ac:dyDescent="0.25">
      <c r="A94" t="s">
        <v>236</v>
      </c>
      <c r="B94" t="s">
        <v>237</v>
      </c>
      <c r="C94">
        <v>60</v>
      </c>
      <c r="D94" t="s">
        <v>37</v>
      </c>
      <c r="E94" t="s">
        <v>21</v>
      </c>
      <c r="F94" t="s">
        <v>38</v>
      </c>
      <c r="G94" t="s">
        <v>39</v>
      </c>
      <c r="H94" s="1">
        <v>45316</v>
      </c>
      <c r="I94" s="1">
        <v>45373</v>
      </c>
      <c r="J94" t="s">
        <v>32</v>
      </c>
      <c r="K94">
        <v>4</v>
      </c>
      <c r="L94">
        <v>173035</v>
      </c>
      <c r="M94">
        <v>28923</v>
      </c>
      <c r="N94">
        <v>23487</v>
      </c>
      <c r="O94">
        <v>191419</v>
      </c>
      <c r="P94" t="s">
        <v>51</v>
      </c>
      <c r="Q94" t="s">
        <v>33</v>
      </c>
      <c r="R94" t="s">
        <v>27</v>
      </c>
    </row>
    <row r="95" spans="1:18" x14ac:dyDescent="0.25">
      <c r="A95" t="s">
        <v>238</v>
      </c>
      <c r="B95" t="s">
        <v>239</v>
      </c>
      <c r="C95">
        <v>41</v>
      </c>
      <c r="D95" t="s">
        <v>37</v>
      </c>
      <c r="E95" t="s">
        <v>45</v>
      </c>
      <c r="F95" t="s">
        <v>46</v>
      </c>
      <c r="G95" t="s">
        <v>80</v>
      </c>
      <c r="H95" s="1">
        <v>45572</v>
      </c>
      <c r="I95" s="1">
        <v>45444</v>
      </c>
      <c r="J95" t="s">
        <v>32</v>
      </c>
      <c r="K95">
        <v>2</v>
      </c>
      <c r="L95">
        <v>59330</v>
      </c>
      <c r="M95">
        <v>10867</v>
      </c>
      <c r="N95">
        <v>13755</v>
      </c>
      <c r="O95">
        <v>238780</v>
      </c>
      <c r="P95" t="s">
        <v>41</v>
      </c>
      <c r="Q95" t="s">
        <v>47</v>
      </c>
      <c r="R95" t="s">
        <v>70</v>
      </c>
    </row>
    <row r="96" spans="1:18" x14ac:dyDescent="0.25">
      <c r="A96" t="s">
        <v>240</v>
      </c>
      <c r="B96" t="s">
        <v>241</v>
      </c>
      <c r="C96">
        <v>29</v>
      </c>
      <c r="D96" t="s">
        <v>37</v>
      </c>
      <c r="E96" t="s">
        <v>69</v>
      </c>
      <c r="F96" t="s">
        <v>38</v>
      </c>
      <c r="G96" t="s">
        <v>23</v>
      </c>
      <c r="H96" s="1">
        <v>45544</v>
      </c>
      <c r="I96" s="1">
        <v>45353</v>
      </c>
      <c r="J96" t="s">
        <v>24</v>
      </c>
      <c r="K96">
        <v>16</v>
      </c>
      <c r="L96">
        <v>56707</v>
      </c>
      <c r="M96">
        <v>42258</v>
      </c>
      <c r="N96">
        <v>5067</v>
      </c>
      <c r="O96">
        <v>134244</v>
      </c>
      <c r="P96" t="s">
        <v>25</v>
      </c>
      <c r="Q96" t="s">
        <v>58</v>
      </c>
      <c r="R96" t="s">
        <v>42</v>
      </c>
    </row>
    <row r="97" spans="1:18" x14ac:dyDescent="0.25">
      <c r="A97" t="s">
        <v>242</v>
      </c>
      <c r="B97" t="s">
        <v>243</v>
      </c>
      <c r="C97">
        <v>15</v>
      </c>
      <c r="D97" t="s">
        <v>37</v>
      </c>
      <c r="E97" t="s">
        <v>45</v>
      </c>
      <c r="F97" t="s">
        <v>22</v>
      </c>
      <c r="G97" t="s">
        <v>80</v>
      </c>
      <c r="H97" s="1">
        <v>45601</v>
      </c>
      <c r="I97" s="1">
        <v>45353</v>
      </c>
      <c r="J97" t="s">
        <v>24</v>
      </c>
      <c r="K97">
        <v>9</v>
      </c>
      <c r="L97">
        <v>23689</v>
      </c>
      <c r="M97">
        <v>34724</v>
      </c>
      <c r="N97">
        <v>16579</v>
      </c>
      <c r="O97">
        <v>227932</v>
      </c>
      <c r="P97" t="s">
        <v>41</v>
      </c>
      <c r="Q97" t="s">
        <v>33</v>
      </c>
      <c r="R97" t="s">
        <v>42</v>
      </c>
    </row>
    <row r="98" spans="1:18" x14ac:dyDescent="0.25">
      <c r="A98" t="s">
        <v>244</v>
      </c>
      <c r="B98" t="s">
        <v>245</v>
      </c>
      <c r="C98">
        <v>45</v>
      </c>
      <c r="D98" t="s">
        <v>37</v>
      </c>
      <c r="E98" t="s">
        <v>69</v>
      </c>
      <c r="F98" t="s">
        <v>46</v>
      </c>
      <c r="G98" t="s">
        <v>23</v>
      </c>
      <c r="H98" s="1">
        <v>45580</v>
      </c>
      <c r="I98" s="1">
        <v>45646</v>
      </c>
      <c r="J98" t="s">
        <v>24</v>
      </c>
      <c r="K98">
        <v>9</v>
      </c>
      <c r="L98">
        <v>34084</v>
      </c>
      <c r="M98">
        <v>10306</v>
      </c>
      <c r="N98">
        <v>7013</v>
      </c>
      <c r="O98">
        <v>225282</v>
      </c>
      <c r="P98" t="s">
        <v>25</v>
      </c>
      <c r="Q98" t="s">
        <v>33</v>
      </c>
      <c r="R98" t="s">
        <v>34</v>
      </c>
    </row>
    <row r="99" spans="1:18" x14ac:dyDescent="0.25">
      <c r="A99" t="s">
        <v>246</v>
      </c>
      <c r="B99" t="s">
        <v>247</v>
      </c>
      <c r="C99">
        <v>65</v>
      </c>
      <c r="D99" t="s">
        <v>37</v>
      </c>
      <c r="E99" t="s">
        <v>45</v>
      </c>
      <c r="F99" t="s">
        <v>75</v>
      </c>
      <c r="G99" t="s">
        <v>23</v>
      </c>
      <c r="H99" s="1">
        <v>45455</v>
      </c>
      <c r="I99" s="1">
        <v>45320</v>
      </c>
      <c r="J99" t="s">
        <v>57</v>
      </c>
      <c r="K99">
        <v>6</v>
      </c>
      <c r="L99">
        <v>45387</v>
      </c>
      <c r="M99">
        <v>40391</v>
      </c>
      <c r="N99">
        <v>15735</v>
      </c>
      <c r="O99">
        <v>77518</v>
      </c>
      <c r="P99" t="s">
        <v>25</v>
      </c>
      <c r="Q99" t="s">
        <v>47</v>
      </c>
      <c r="R99" t="s">
        <v>27</v>
      </c>
    </row>
    <row r="100" spans="1:18" x14ac:dyDescent="0.25">
      <c r="A100" t="s">
        <v>248</v>
      </c>
      <c r="B100" t="s">
        <v>249</v>
      </c>
      <c r="C100">
        <v>89</v>
      </c>
      <c r="D100" t="s">
        <v>20</v>
      </c>
      <c r="E100" t="s">
        <v>69</v>
      </c>
      <c r="F100" t="s">
        <v>31</v>
      </c>
      <c r="G100" t="s">
        <v>39</v>
      </c>
      <c r="H100" s="1">
        <v>45386</v>
      </c>
      <c r="I100" s="1">
        <v>45335</v>
      </c>
      <c r="J100" t="s">
        <v>57</v>
      </c>
      <c r="K100">
        <v>11</v>
      </c>
      <c r="L100">
        <v>79816</v>
      </c>
      <c r="M100">
        <v>15908</v>
      </c>
      <c r="N100">
        <v>20889</v>
      </c>
      <c r="O100">
        <v>184355</v>
      </c>
      <c r="P100" t="s">
        <v>41</v>
      </c>
      <c r="Q100" t="s">
        <v>87</v>
      </c>
      <c r="R100" t="s">
        <v>34</v>
      </c>
    </row>
    <row r="101" spans="1:18" x14ac:dyDescent="0.25">
      <c r="A101" t="s">
        <v>250</v>
      </c>
      <c r="B101" t="s">
        <v>251</v>
      </c>
      <c r="C101">
        <v>71</v>
      </c>
      <c r="D101" t="s">
        <v>37</v>
      </c>
      <c r="E101" t="s">
        <v>54</v>
      </c>
      <c r="F101" t="s">
        <v>38</v>
      </c>
      <c r="G101" t="s">
        <v>23</v>
      </c>
      <c r="H101" s="1">
        <v>45561</v>
      </c>
      <c r="I101" s="1">
        <v>45461</v>
      </c>
      <c r="J101" t="s">
        <v>24</v>
      </c>
      <c r="K101">
        <v>1</v>
      </c>
      <c r="L101">
        <v>7642</v>
      </c>
      <c r="M101">
        <v>28081</v>
      </c>
      <c r="N101">
        <v>12255</v>
      </c>
      <c r="O101">
        <v>89326</v>
      </c>
      <c r="P101" t="s">
        <v>63</v>
      </c>
      <c r="Q101" t="s">
        <v>33</v>
      </c>
      <c r="R101" t="s">
        <v>70</v>
      </c>
    </row>
    <row r="102" spans="1:18" x14ac:dyDescent="0.25">
      <c r="A102" t="s">
        <v>252</v>
      </c>
      <c r="B102" t="s">
        <v>253</v>
      </c>
      <c r="C102">
        <v>9</v>
      </c>
      <c r="D102" t="s">
        <v>20</v>
      </c>
      <c r="E102" t="s">
        <v>30</v>
      </c>
      <c r="F102" t="s">
        <v>46</v>
      </c>
      <c r="G102" t="s">
        <v>23</v>
      </c>
      <c r="H102" s="1">
        <v>45612</v>
      </c>
      <c r="I102" s="1">
        <v>45378</v>
      </c>
      <c r="J102" t="s">
        <v>57</v>
      </c>
      <c r="K102">
        <v>4</v>
      </c>
      <c r="L102">
        <v>47137</v>
      </c>
      <c r="M102">
        <v>38228</v>
      </c>
      <c r="N102">
        <v>25998</v>
      </c>
      <c r="O102">
        <v>151277</v>
      </c>
      <c r="P102" t="s">
        <v>51</v>
      </c>
      <c r="Q102" t="s">
        <v>87</v>
      </c>
      <c r="R102" t="s">
        <v>34</v>
      </c>
    </row>
    <row r="103" spans="1:18" x14ac:dyDescent="0.25">
      <c r="A103" t="s">
        <v>254</v>
      </c>
      <c r="B103" t="s">
        <v>255</v>
      </c>
      <c r="C103">
        <v>88</v>
      </c>
      <c r="D103" t="s">
        <v>37</v>
      </c>
      <c r="E103" t="s">
        <v>30</v>
      </c>
      <c r="F103" t="s">
        <v>38</v>
      </c>
      <c r="G103" t="s">
        <v>39</v>
      </c>
      <c r="H103" s="1">
        <v>45401</v>
      </c>
      <c r="I103" s="1">
        <v>45469</v>
      </c>
      <c r="J103" t="s">
        <v>40</v>
      </c>
      <c r="K103">
        <v>13</v>
      </c>
      <c r="L103">
        <v>191633</v>
      </c>
      <c r="M103">
        <v>24386</v>
      </c>
      <c r="N103">
        <v>29308</v>
      </c>
      <c r="O103">
        <v>128243</v>
      </c>
      <c r="P103" t="s">
        <v>25</v>
      </c>
      <c r="Q103" t="s">
        <v>87</v>
      </c>
      <c r="R103" t="s">
        <v>34</v>
      </c>
    </row>
    <row r="104" spans="1:18" x14ac:dyDescent="0.25">
      <c r="A104" t="s">
        <v>256</v>
      </c>
      <c r="B104" t="s">
        <v>257</v>
      </c>
      <c r="C104">
        <v>1</v>
      </c>
      <c r="D104" t="s">
        <v>20</v>
      </c>
      <c r="E104" t="s">
        <v>50</v>
      </c>
      <c r="F104" t="s">
        <v>46</v>
      </c>
      <c r="G104" t="s">
        <v>23</v>
      </c>
      <c r="H104" s="1">
        <v>45627</v>
      </c>
      <c r="I104" s="1">
        <v>45309</v>
      </c>
      <c r="J104" t="s">
        <v>40</v>
      </c>
      <c r="K104">
        <v>13</v>
      </c>
      <c r="L104">
        <v>67260</v>
      </c>
      <c r="M104">
        <v>47754</v>
      </c>
      <c r="N104">
        <v>29538</v>
      </c>
      <c r="O104">
        <v>228946</v>
      </c>
      <c r="P104" t="s">
        <v>63</v>
      </c>
      <c r="Q104" t="s">
        <v>26</v>
      </c>
      <c r="R104" t="s">
        <v>34</v>
      </c>
    </row>
    <row r="105" spans="1:18" x14ac:dyDescent="0.25">
      <c r="A105" t="s">
        <v>258</v>
      </c>
      <c r="B105" t="s">
        <v>259</v>
      </c>
      <c r="C105">
        <v>8</v>
      </c>
      <c r="D105" t="s">
        <v>20</v>
      </c>
      <c r="E105" t="s">
        <v>30</v>
      </c>
      <c r="F105" t="s">
        <v>66</v>
      </c>
      <c r="G105" t="s">
        <v>39</v>
      </c>
      <c r="H105" s="1">
        <v>45601</v>
      </c>
      <c r="I105" s="1">
        <v>45390</v>
      </c>
      <c r="J105" t="s">
        <v>57</v>
      </c>
      <c r="K105">
        <v>13</v>
      </c>
      <c r="L105">
        <v>151510</v>
      </c>
      <c r="M105">
        <v>46406</v>
      </c>
      <c r="N105">
        <v>11651</v>
      </c>
      <c r="O105">
        <v>20748</v>
      </c>
      <c r="P105" t="s">
        <v>25</v>
      </c>
      <c r="Q105" t="s">
        <v>47</v>
      </c>
      <c r="R105" t="s">
        <v>27</v>
      </c>
    </row>
    <row r="106" spans="1:18" x14ac:dyDescent="0.25">
      <c r="A106" t="s">
        <v>260</v>
      </c>
      <c r="B106" t="s">
        <v>261</v>
      </c>
      <c r="C106">
        <v>88</v>
      </c>
      <c r="D106" t="s">
        <v>20</v>
      </c>
      <c r="E106" t="s">
        <v>21</v>
      </c>
      <c r="F106" t="s">
        <v>75</v>
      </c>
      <c r="G106" t="s">
        <v>39</v>
      </c>
      <c r="H106" s="1">
        <v>45529</v>
      </c>
      <c r="I106" s="1">
        <v>45490</v>
      </c>
      <c r="J106" t="s">
        <v>57</v>
      </c>
      <c r="K106">
        <v>2</v>
      </c>
      <c r="L106">
        <v>53442</v>
      </c>
      <c r="M106">
        <v>29302</v>
      </c>
      <c r="N106">
        <v>17067</v>
      </c>
      <c r="O106">
        <v>160169</v>
      </c>
      <c r="P106" t="s">
        <v>51</v>
      </c>
      <c r="Q106" t="s">
        <v>87</v>
      </c>
      <c r="R106" t="s">
        <v>70</v>
      </c>
    </row>
    <row r="107" spans="1:18" x14ac:dyDescent="0.25">
      <c r="A107" t="s">
        <v>262</v>
      </c>
      <c r="B107" t="s">
        <v>263</v>
      </c>
      <c r="C107">
        <v>63</v>
      </c>
      <c r="D107" t="s">
        <v>37</v>
      </c>
      <c r="E107" t="s">
        <v>45</v>
      </c>
      <c r="F107" t="s">
        <v>38</v>
      </c>
      <c r="G107" t="s">
        <v>23</v>
      </c>
      <c r="H107" s="1">
        <v>45316</v>
      </c>
      <c r="I107" s="1">
        <v>45390</v>
      </c>
      <c r="J107" t="s">
        <v>40</v>
      </c>
      <c r="K107">
        <v>9</v>
      </c>
      <c r="L107">
        <v>108061</v>
      </c>
      <c r="M107">
        <v>20212</v>
      </c>
      <c r="N107">
        <v>24639</v>
      </c>
      <c r="O107">
        <v>142164</v>
      </c>
      <c r="P107" t="s">
        <v>25</v>
      </c>
      <c r="Q107" t="s">
        <v>47</v>
      </c>
      <c r="R107" t="s">
        <v>34</v>
      </c>
    </row>
    <row r="108" spans="1:18" x14ac:dyDescent="0.25">
      <c r="A108" t="s">
        <v>264</v>
      </c>
      <c r="B108" t="s">
        <v>265</v>
      </c>
      <c r="C108">
        <v>11</v>
      </c>
      <c r="D108" t="s">
        <v>37</v>
      </c>
      <c r="E108" t="s">
        <v>50</v>
      </c>
      <c r="F108" t="s">
        <v>31</v>
      </c>
      <c r="G108" t="s">
        <v>23</v>
      </c>
      <c r="H108" s="1">
        <v>45432</v>
      </c>
      <c r="I108" s="1">
        <v>45357</v>
      </c>
      <c r="J108" t="s">
        <v>32</v>
      </c>
      <c r="K108">
        <v>8</v>
      </c>
      <c r="L108">
        <v>139066</v>
      </c>
      <c r="M108">
        <v>36618</v>
      </c>
      <c r="N108">
        <v>3858</v>
      </c>
      <c r="O108">
        <v>61311</v>
      </c>
      <c r="P108" t="s">
        <v>51</v>
      </c>
      <c r="Q108" t="s">
        <v>26</v>
      </c>
      <c r="R108" t="s">
        <v>27</v>
      </c>
    </row>
    <row r="109" spans="1:18" x14ac:dyDescent="0.25">
      <c r="A109" t="s">
        <v>266</v>
      </c>
      <c r="B109" t="s">
        <v>267</v>
      </c>
      <c r="C109">
        <v>81</v>
      </c>
      <c r="D109" t="s">
        <v>20</v>
      </c>
      <c r="E109" t="s">
        <v>21</v>
      </c>
      <c r="F109" t="s">
        <v>31</v>
      </c>
      <c r="G109" t="s">
        <v>80</v>
      </c>
      <c r="H109" s="1">
        <v>45408</v>
      </c>
      <c r="I109" s="1">
        <v>45622</v>
      </c>
      <c r="J109" t="s">
        <v>40</v>
      </c>
      <c r="K109">
        <v>7</v>
      </c>
      <c r="L109">
        <v>130844</v>
      </c>
      <c r="M109">
        <v>47067</v>
      </c>
      <c r="N109">
        <v>23499</v>
      </c>
      <c r="O109">
        <v>30692</v>
      </c>
      <c r="P109" t="s">
        <v>51</v>
      </c>
      <c r="Q109" t="s">
        <v>47</v>
      </c>
      <c r="R109" t="s">
        <v>70</v>
      </c>
    </row>
    <row r="110" spans="1:18" x14ac:dyDescent="0.25">
      <c r="A110" t="s">
        <v>268</v>
      </c>
      <c r="B110" t="s">
        <v>269</v>
      </c>
      <c r="C110">
        <v>8</v>
      </c>
      <c r="D110" t="s">
        <v>37</v>
      </c>
      <c r="E110" t="s">
        <v>21</v>
      </c>
      <c r="F110" t="s">
        <v>22</v>
      </c>
      <c r="G110" t="s">
        <v>39</v>
      </c>
      <c r="H110" s="1">
        <v>45316</v>
      </c>
      <c r="I110" s="1">
        <v>45633</v>
      </c>
      <c r="J110" t="s">
        <v>40</v>
      </c>
      <c r="K110">
        <v>4</v>
      </c>
      <c r="L110">
        <v>104575</v>
      </c>
      <c r="M110">
        <v>11698</v>
      </c>
      <c r="N110">
        <v>10090</v>
      </c>
      <c r="O110">
        <v>132954</v>
      </c>
      <c r="P110" t="s">
        <v>25</v>
      </c>
      <c r="Q110" t="s">
        <v>33</v>
      </c>
      <c r="R110" t="s">
        <v>42</v>
      </c>
    </row>
    <row r="111" spans="1:18" x14ac:dyDescent="0.25">
      <c r="A111" t="s">
        <v>270</v>
      </c>
      <c r="B111" t="s">
        <v>271</v>
      </c>
      <c r="C111">
        <v>35</v>
      </c>
      <c r="D111" t="s">
        <v>20</v>
      </c>
      <c r="E111" t="s">
        <v>69</v>
      </c>
      <c r="F111" t="s">
        <v>46</v>
      </c>
      <c r="G111" t="s">
        <v>80</v>
      </c>
      <c r="H111" s="1">
        <v>45370</v>
      </c>
      <c r="I111" s="1">
        <v>45297</v>
      </c>
      <c r="J111" t="s">
        <v>57</v>
      </c>
      <c r="K111">
        <v>18</v>
      </c>
      <c r="L111">
        <v>6813</v>
      </c>
      <c r="M111">
        <v>5594</v>
      </c>
      <c r="N111">
        <v>23681</v>
      </c>
      <c r="O111">
        <v>162934</v>
      </c>
      <c r="P111" t="s">
        <v>25</v>
      </c>
      <c r="Q111" t="s">
        <v>87</v>
      </c>
      <c r="R111" t="s">
        <v>34</v>
      </c>
    </row>
    <row r="112" spans="1:18" x14ac:dyDescent="0.25">
      <c r="A112" t="s">
        <v>272</v>
      </c>
      <c r="B112" t="s">
        <v>273</v>
      </c>
      <c r="C112">
        <v>35</v>
      </c>
      <c r="D112" t="s">
        <v>37</v>
      </c>
      <c r="E112" t="s">
        <v>30</v>
      </c>
      <c r="F112" t="s">
        <v>38</v>
      </c>
      <c r="G112" t="s">
        <v>23</v>
      </c>
      <c r="H112" s="1">
        <v>45359</v>
      </c>
      <c r="I112" s="1">
        <v>45294</v>
      </c>
      <c r="J112" t="s">
        <v>40</v>
      </c>
      <c r="K112">
        <v>3</v>
      </c>
      <c r="L112">
        <v>98027</v>
      </c>
      <c r="M112">
        <v>26525</v>
      </c>
      <c r="N112">
        <v>11488</v>
      </c>
      <c r="O112">
        <v>138035</v>
      </c>
      <c r="P112" t="s">
        <v>51</v>
      </c>
      <c r="Q112" t="s">
        <v>47</v>
      </c>
      <c r="R112" t="s">
        <v>70</v>
      </c>
    </row>
    <row r="113" spans="1:18" x14ac:dyDescent="0.25">
      <c r="A113" t="s">
        <v>274</v>
      </c>
      <c r="B113" t="s">
        <v>275</v>
      </c>
      <c r="C113">
        <v>33</v>
      </c>
      <c r="D113" t="s">
        <v>20</v>
      </c>
      <c r="E113" t="s">
        <v>54</v>
      </c>
      <c r="F113" t="s">
        <v>22</v>
      </c>
      <c r="G113" t="s">
        <v>80</v>
      </c>
      <c r="H113" s="1">
        <v>45464</v>
      </c>
      <c r="I113" s="1">
        <v>45314</v>
      </c>
      <c r="J113" t="s">
        <v>57</v>
      </c>
      <c r="K113">
        <v>6</v>
      </c>
      <c r="L113">
        <v>128489</v>
      </c>
      <c r="M113">
        <v>15282</v>
      </c>
      <c r="N113">
        <v>25612</v>
      </c>
      <c r="O113">
        <v>229468</v>
      </c>
      <c r="P113" t="s">
        <v>63</v>
      </c>
      <c r="Q113" t="s">
        <v>58</v>
      </c>
      <c r="R113" t="s">
        <v>34</v>
      </c>
    </row>
    <row r="114" spans="1:18" x14ac:dyDescent="0.25">
      <c r="A114" t="s">
        <v>276</v>
      </c>
      <c r="B114" t="s">
        <v>277</v>
      </c>
      <c r="C114">
        <v>5</v>
      </c>
      <c r="D114" t="s">
        <v>20</v>
      </c>
      <c r="E114" t="s">
        <v>54</v>
      </c>
      <c r="F114" t="s">
        <v>38</v>
      </c>
      <c r="G114" t="s">
        <v>39</v>
      </c>
      <c r="H114" s="1">
        <v>45303</v>
      </c>
      <c r="I114" s="1">
        <v>45404</v>
      </c>
      <c r="J114" t="s">
        <v>57</v>
      </c>
      <c r="K114">
        <v>12</v>
      </c>
      <c r="L114">
        <v>89381</v>
      </c>
      <c r="M114">
        <v>15334</v>
      </c>
      <c r="N114">
        <v>8178</v>
      </c>
      <c r="O114">
        <v>87507</v>
      </c>
      <c r="P114" t="s">
        <v>41</v>
      </c>
      <c r="Q114" t="s">
        <v>47</v>
      </c>
      <c r="R114" t="s">
        <v>42</v>
      </c>
    </row>
    <row r="115" spans="1:18" x14ac:dyDescent="0.25">
      <c r="A115" t="s">
        <v>278</v>
      </c>
      <c r="B115" t="s">
        <v>279</v>
      </c>
      <c r="C115">
        <v>41</v>
      </c>
      <c r="D115" t="s">
        <v>37</v>
      </c>
      <c r="E115" t="s">
        <v>50</v>
      </c>
      <c r="F115" t="s">
        <v>46</v>
      </c>
      <c r="G115" t="s">
        <v>80</v>
      </c>
      <c r="H115" s="1">
        <v>45579</v>
      </c>
      <c r="I115" s="1">
        <v>45349</v>
      </c>
      <c r="J115" t="s">
        <v>24</v>
      </c>
      <c r="K115">
        <v>12</v>
      </c>
      <c r="L115">
        <v>60276</v>
      </c>
      <c r="M115">
        <v>30179</v>
      </c>
      <c r="N115">
        <v>6198</v>
      </c>
      <c r="O115">
        <v>88152</v>
      </c>
      <c r="P115" t="s">
        <v>51</v>
      </c>
      <c r="Q115" t="s">
        <v>87</v>
      </c>
      <c r="R115" t="s">
        <v>70</v>
      </c>
    </row>
    <row r="116" spans="1:18" x14ac:dyDescent="0.25">
      <c r="A116" t="s">
        <v>280</v>
      </c>
      <c r="B116" t="s">
        <v>281</v>
      </c>
      <c r="C116">
        <v>28</v>
      </c>
      <c r="D116" t="s">
        <v>20</v>
      </c>
      <c r="E116" t="s">
        <v>54</v>
      </c>
      <c r="F116" t="s">
        <v>31</v>
      </c>
      <c r="G116" t="s">
        <v>39</v>
      </c>
      <c r="H116" s="1">
        <v>45419</v>
      </c>
      <c r="I116" s="1">
        <v>45358</v>
      </c>
      <c r="J116" t="s">
        <v>40</v>
      </c>
      <c r="K116">
        <v>8</v>
      </c>
      <c r="L116">
        <v>46243</v>
      </c>
      <c r="M116">
        <v>7644</v>
      </c>
      <c r="N116">
        <v>1773</v>
      </c>
      <c r="O116">
        <v>209541</v>
      </c>
      <c r="P116" t="s">
        <v>25</v>
      </c>
      <c r="Q116" t="s">
        <v>26</v>
      </c>
      <c r="R116" t="s">
        <v>27</v>
      </c>
    </row>
    <row r="117" spans="1:18" x14ac:dyDescent="0.25">
      <c r="A117" t="s">
        <v>282</v>
      </c>
      <c r="B117" t="s">
        <v>283</v>
      </c>
      <c r="C117">
        <v>7</v>
      </c>
      <c r="D117" t="s">
        <v>37</v>
      </c>
      <c r="E117" t="s">
        <v>45</v>
      </c>
      <c r="F117" t="s">
        <v>66</v>
      </c>
      <c r="G117" t="s">
        <v>23</v>
      </c>
      <c r="H117" s="1">
        <v>45387</v>
      </c>
      <c r="I117" s="1">
        <v>45622</v>
      </c>
      <c r="J117" t="s">
        <v>32</v>
      </c>
      <c r="K117">
        <v>1</v>
      </c>
      <c r="L117">
        <v>198984</v>
      </c>
      <c r="M117">
        <v>36618</v>
      </c>
      <c r="N117">
        <v>28043</v>
      </c>
      <c r="O117">
        <v>12926</v>
      </c>
      <c r="P117" t="s">
        <v>25</v>
      </c>
      <c r="Q117" t="s">
        <v>26</v>
      </c>
      <c r="R117" t="s">
        <v>70</v>
      </c>
    </row>
    <row r="118" spans="1:18" x14ac:dyDescent="0.25">
      <c r="A118" t="s">
        <v>284</v>
      </c>
      <c r="B118" t="s">
        <v>285</v>
      </c>
      <c r="C118">
        <v>73</v>
      </c>
      <c r="D118" t="s">
        <v>20</v>
      </c>
      <c r="E118" t="s">
        <v>54</v>
      </c>
      <c r="F118" t="s">
        <v>31</v>
      </c>
      <c r="G118" t="s">
        <v>23</v>
      </c>
      <c r="H118" s="1">
        <v>45383</v>
      </c>
      <c r="I118" s="1">
        <v>45390</v>
      </c>
      <c r="J118" t="s">
        <v>24</v>
      </c>
      <c r="K118">
        <v>4</v>
      </c>
      <c r="L118">
        <v>65272</v>
      </c>
      <c r="M118">
        <v>48701</v>
      </c>
      <c r="N118">
        <v>23537</v>
      </c>
      <c r="O118">
        <v>230371</v>
      </c>
      <c r="P118" t="s">
        <v>63</v>
      </c>
      <c r="Q118" t="s">
        <v>87</v>
      </c>
      <c r="R118" t="s">
        <v>27</v>
      </c>
    </row>
    <row r="119" spans="1:18" x14ac:dyDescent="0.25">
      <c r="A119" t="s">
        <v>286</v>
      </c>
      <c r="B119" t="s">
        <v>287</v>
      </c>
      <c r="C119">
        <v>72</v>
      </c>
      <c r="D119" t="s">
        <v>20</v>
      </c>
      <c r="E119" t="s">
        <v>50</v>
      </c>
      <c r="F119" t="s">
        <v>22</v>
      </c>
      <c r="G119" t="s">
        <v>39</v>
      </c>
      <c r="H119" s="1">
        <v>45432</v>
      </c>
      <c r="I119" s="1">
        <v>45436</v>
      </c>
      <c r="J119" t="s">
        <v>57</v>
      </c>
      <c r="K119">
        <v>11</v>
      </c>
      <c r="L119">
        <v>178123</v>
      </c>
      <c r="M119">
        <v>33933</v>
      </c>
      <c r="N119">
        <v>11741</v>
      </c>
      <c r="O119">
        <v>11969</v>
      </c>
      <c r="P119" t="s">
        <v>41</v>
      </c>
      <c r="Q119" t="s">
        <v>33</v>
      </c>
      <c r="R119" t="s">
        <v>70</v>
      </c>
    </row>
    <row r="120" spans="1:18" x14ac:dyDescent="0.25">
      <c r="A120" t="s">
        <v>288</v>
      </c>
      <c r="B120" t="s">
        <v>289</v>
      </c>
      <c r="C120">
        <v>12</v>
      </c>
      <c r="D120" t="s">
        <v>37</v>
      </c>
      <c r="E120" t="s">
        <v>54</v>
      </c>
      <c r="F120" t="s">
        <v>75</v>
      </c>
      <c r="G120" t="s">
        <v>23</v>
      </c>
      <c r="H120" s="1">
        <v>45322</v>
      </c>
      <c r="I120" s="1">
        <v>45660</v>
      </c>
      <c r="J120" t="s">
        <v>57</v>
      </c>
      <c r="K120">
        <v>3</v>
      </c>
      <c r="L120">
        <v>70618</v>
      </c>
      <c r="M120">
        <v>44469</v>
      </c>
      <c r="N120">
        <v>17980</v>
      </c>
      <c r="O120">
        <v>43733</v>
      </c>
      <c r="P120" t="s">
        <v>51</v>
      </c>
      <c r="Q120" t="s">
        <v>33</v>
      </c>
      <c r="R120" t="s">
        <v>27</v>
      </c>
    </row>
    <row r="121" spans="1:18" x14ac:dyDescent="0.25">
      <c r="A121" t="s">
        <v>290</v>
      </c>
      <c r="B121" t="s">
        <v>291</v>
      </c>
      <c r="C121">
        <v>34</v>
      </c>
      <c r="D121" t="s">
        <v>37</v>
      </c>
      <c r="E121" t="s">
        <v>45</v>
      </c>
      <c r="F121" t="s">
        <v>66</v>
      </c>
      <c r="G121" t="s">
        <v>23</v>
      </c>
      <c r="H121" s="1">
        <v>45625</v>
      </c>
      <c r="I121" s="1">
        <v>45417</v>
      </c>
      <c r="J121" t="s">
        <v>32</v>
      </c>
      <c r="K121">
        <v>13</v>
      </c>
      <c r="L121">
        <v>6920</v>
      </c>
      <c r="M121">
        <v>34687</v>
      </c>
      <c r="N121">
        <v>9997</v>
      </c>
      <c r="O121">
        <v>77855</v>
      </c>
      <c r="P121" t="s">
        <v>51</v>
      </c>
      <c r="Q121" t="s">
        <v>26</v>
      </c>
      <c r="R121" t="s">
        <v>42</v>
      </c>
    </row>
    <row r="122" spans="1:18" x14ac:dyDescent="0.25">
      <c r="A122" t="s">
        <v>292</v>
      </c>
      <c r="B122" t="s">
        <v>293</v>
      </c>
      <c r="C122">
        <v>33</v>
      </c>
      <c r="D122" t="s">
        <v>37</v>
      </c>
      <c r="E122" t="s">
        <v>69</v>
      </c>
      <c r="F122" t="s">
        <v>22</v>
      </c>
      <c r="G122" t="s">
        <v>23</v>
      </c>
      <c r="H122" s="1">
        <v>45311</v>
      </c>
      <c r="I122" s="1">
        <v>45459</v>
      </c>
      <c r="J122" t="s">
        <v>57</v>
      </c>
      <c r="K122">
        <v>17</v>
      </c>
      <c r="L122">
        <v>111121</v>
      </c>
      <c r="M122">
        <v>42073</v>
      </c>
      <c r="N122">
        <v>9607</v>
      </c>
      <c r="O122">
        <v>49743</v>
      </c>
      <c r="P122" t="s">
        <v>41</v>
      </c>
      <c r="Q122" t="s">
        <v>26</v>
      </c>
      <c r="R122" t="s">
        <v>42</v>
      </c>
    </row>
    <row r="123" spans="1:18" x14ac:dyDescent="0.25">
      <c r="A123" t="s">
        <v>294</v>
      </c>
      <c r="B123" t="s">
        <v>295</v>
      </c>
      <c r="C123">
        <v>48</v>
      </c>
      <c r="D123" t="s">
        <v>20</v>
      </c>
      <c r="E123" t="s">
        <v>50</v>
      </c>
      <c r="F123" t="s">
        <v>46</v>
      </c>
      <c r="G123" t="s">
        <v>23</v>
      </c>
      <c r="H123" s="1">
        <v>45437</v>
      </c>
      <c r="I123" s="1">
        <v>45378</v>
      </c>
      <c r="J123" t="s">
        <v>40</v>
      </c>
      <c r="K123">
        <v>10</v>
      </c>
      <c r="L123">
        <v>81872</v>
      </c>
      <c r="M123">
        <v>18375</v>
      </c>
      <c r="N123">
        <v>11773</v>
      </c>
      <c r="O123">
        <v>138193</v>
      </c>
      <c r="P123" t="s">
        <v>51</v>
      </c>
      <c r="Q123" t="s">
        <v>87</v>
      </c>
      <c r="R123" t="s">
        <v>42</v>
      </c>
    </row>
    <row r="124" spans="1:18" x14ac:dyDescent="0.25">
      <c r="A124" t="s">
        <v>296</v>
      </c>
      <c r="B124" t="s">
        <v>297</v>
      </c>
      <c r="C124">
        <v>23</v>
      </c>
      <c r="D124" t="s">
        <v>37</v>
      </c>
      <c r="E124" t="s">
        <v>69</v>
      </c>
      <c r="F124" t="s">
        <v>66</v>
      </c>
      <c r="G124" t="s">
        <v>39</v>
      </c>
      <c r="H124" s="1">
        <v>45607</v>
      </c>
      <c r="I124" s="1">
        <v>45368</v>
      </c>
      <c r="J124" t="s">
        <v>24</v>
      </c>
      <c r="K124">
        <v>12</v>
      </c>
      <c r="L124">
        <v>86132</v>
      </c>
      <c r="M124">
        <v>49483</v>
      </c>
      <c r="N124">
        <v>8502</v>
      </c>
      <c r="O124">
        <v>178948</v>
      </c>
      <c r="P124" t="s">
        <v>41</v>
      </c>
      <c r="Q124" t="s">
        <v>33</v>
      </c>
      <c r="R124" t="s">
        <v>70</v>
      </c>
    </row>
    <row r="125" spans="1:18" x14ac:dyDescent="0.25">
      <c r="A125" t="s">
        <v>298</v>
      </c>
      <c r="B125" t="s">
        <v>299</v>
      </c>
      <c r="C125">
        <v>62</v>
      </c>
      <c r="D125" t="s">
        <v>20</v>
      </c>
      <c r="E125" t="s">
        <v>69</v>
      </c>
      <c r="F125" t="s">
        <v>22</v>
      </c>
      <c r="G125" t="s">
        <v>80</v>
      </c>
      <c r="H125" s="1">
        <v>45451</v>
      </c>
      <c r="I125" s="1">
        <v>45636</v>
      </c>
      <c r="J125" t="s">
        <v>57</v>
      </c>
      <c r="K125">
        <v>15</v>
      </c>
      <c r="L125">
        <v>7093</v>
      </c>
      <c r="M125">
        <v>31926</v>
      </c>
      <c r="N125">
        <v>4747</v>
      </c>
      <c r="O125">
        <v>115445</v>
      </c>
      <c r="P125" t="s">
        <v>25</v>
      </c>
      <c r="Q125" t="s">
        <v>26</v>
      </c>
      <c r="R125" t="s">
        <v>42</v>
      </c>
    </row>
    <row r="126" spans="1:18" x14ac:dyDescent="0.25">
      <c r="A126" t="s">
        <v>300</v>
      </c>
      <c r="B126" t="s">
        <v>301</v>
      </c>
      <c r="C126">
        <v>88</v>
      </c>
      <c r="D126" t="s">
        <v>20</v>
      </c>
      <c r="E126" t="s">
        <v>69</v>
      </c>
      <c r="F126" t="s">
        <v>46</v>
      </c>
      <c r="G126" t="s">
        <v>80</v>
      </c>
      <c r="H126" s="1">
        <v>45640</v>
      </c>
      <c r="I126" s="1">
        <v>45586</v>
      </c>
      <c r="J126" t="s">
        <v>57</v>
      </c>
      <c r="K126">
        <v>10</v>
      </c>
      <c r="L126">
        <v>17905</v>
      </c>
      <c r="M126">
        <v>37607</v>
      </c>
      <c r="N126">
        <v>9720</v>
      </c>
      <c r="O126">
        <v>28323</v>
      </c>
      <c r="P126" t="s">
        <v>41</v>
      </c>
      <c r="Q126" t="s">
        <v>33</v>
      </c>
      <c r="R126" t="s">
        <v>34</v>
      </c>
    </row>
    <row r="127" spans="1:18" x14ac:dyDescent="0.25">
      <c r="A127" t="s">
        <v>302</v>
      </c>
      <c r="B127" t="s">
        <v>303</v>
      </c>
      <c r="C127">
        <v>37</v>
      </c>
      <c r="D127" t="s">
        <v>37</v>
      </c>
      <c r="E127" t="s">
        <v>21</v>
      </c>
      <c r="F127" t="s">
        <v>31</v>
      </c>
      <c r="G127" t="s">
        <v>23</v>
      </c>
      <c r="H127" s="1">
        <v>45334</v>
      </c>
      <c r="I127" s="1">
        <v>45351</v>
      </c>
      <c r="J127" t="s">
        <v>32</v>
      </c>
      <c r="K127">
        <v>14</v>
      </c>
      <c r="L127">
        <v>126759</v>
      </c>
      <c r="M127">
        <v>18642</v>
      </c>
      <c r="N127">
        <v>22198</v>
      </c>
      <c r="O127">
        <v>24428</v>
      </c>
      <c r="P127" t="s">
        <v>51</v>
      </c>
      <c r="Q127" t="s">
        <v>26</v>
      </c>
      <c r="R127" t="s">
        <v>42</v>
      </c>
    </row>
    <row r="128" spans="1:18" x14ac:dyDescent="0.25">
      <c r="A128" t="s">
        <v>304</v>
      </c>
      <c r="B128" t="s">
        <v>305</v>
      </c>
      <c r="C128">
        <v>44</v>
      </c>
      <c r="D128" t="s">
        <v>37</v>
      </c>
      <c r="E128" t="s">
        <v>30</v>
      </c>
      <c r="F128" t="s">
        <v>75</v>
      </c>
      <c r="G128" t="s">
        <v>80</v>
      </c>
      <c r="H128" s="1">
        <v>45545</v>
      </c>
      <c r="I128" s="1">
        <v>45430</v>
      </c>
      <c r="J128" t="s">
        <v>40</v>
      </c>
      <c r="K128">
        <v>13</v>
      </c>
      <c r="L128">
        <v>160423</v>
      </c>
      <c r="M128">
        <v>24993</v>
      </c>
      <c r="N128">
        <v>27053</v>
      </c>
      <c r="O128">
        <v>42578</v>
      </c>
      <c r="P128" t="s">
        <v>41</v>
      </c>
      <c r="Q128" t="s">
        <v>47</v>
      </c>
      <c r="R128" t="s">
        <v>27</v>
      </c>
    </row>
    <row r="129" spans="1:18" x14ac:dyDescent="0.25">
      <c r="A129" t="s">
        <v>306</v>
      </c>
      <c r="B129" t="s">
        <v>307</v>
      </c>
      <c r="C129">
        <v>86</v>
      </c>
      <c r="D129" t="s">
        <v>20</v>
      </c>
      <c r="E129" t="s">
        <v>21</v>
      </c>
      <c r="F129" t="s">
        <v>46</v>
      </c>
      <c r="G129" t="s">
        <v>80</v>
      </c>
      <c r="H129" s="1">
        <v>45421</v>
      </c>
      <c r="I129" s="1">
        <v>45391</v>
      </c>
      <c r="J129" t="s">
        <v>57</v>
      </c>
      <c r="K129">
        <v>5</v>
      </c>
      <c r="L129">
        <v>35981</v>
      </c>
      <c r="M129">
        <v>45386</v>
      </c>
      <c r="N129">
        <v>20238</v>
      </c>
      <c r="O129">
        <v>94486</v>
      </c>
      <c r="P129" t="s">
        <v>63</v>
      </c>
      <c r="Q129" t="s">
        <v>58</v>
      </c>
      <c r="R129" t="s">
        <v>27</v>
      </c>
    </row>
    <row r="130" spans="1:18" x14ac:dyDescent="0.25">
      <c r="A130" t="s">
        <v>308</v>
      </c>
      <c r="B130" t="s">
        <v>309</v>
      </c>
      <c r="C130">
        <v>35</v>
      </c>
      <c r="D130" t="s">
        <v>20</v>
      </c>
      <c r="E130" t="s">
        <v>30</v>
      </c>
      <c r="F130" t="s">
        <v>38</v>
      </c>
      <c r="G130" t="s">
        <v>23</v>
      </c>
      <c r="H130" s="1">
        <v>45351</v>
      </c>
      <c r="I130" s="1">
        <v>45484</v>
      </c>
      <c r="J130" t="s">
        <v>32</v>
      </c>
      <c r="K130">
        <v>6</v>
      </c>
      <c r="L130">
        <v>78903</v>
      </c>
      <c r="M130">
        <v>47287</v>
      </c>
      <c r="N130">
        <v>11203</v>
      </c>
      <c r="O130">
        <v>247649</v>
      </c>
      <c r="P130" t="s">
        <v>25</v>
      </c>
      <c r="Q130" t="s">
        <v>47</v>
      </c>
      <c r="R130" t="s">
        <v>27</v>
      </c>
    </row>
    <row r="131" spans="1:18" x14ac:dyDescent="0.25">
      <c r="A131" t="s">
        <v>310</v>
      </c>
      <c r="B131" t="s">
        <v>311</v>
      </c>
      <c r="C131">
        <v>65</v>
      </c>
      <c r="D131" t="s">
        <v>37</v>
      </c>
      <c r="E131" t="s">
        <v>69</v>
      </c>
      <c r="F131" t="s">
        <v>46</v>
      </c>
      <c r="G131" t="s">
        <v>23</v>
      </c>
      <c r="H131" s="1">
        <v>45442</v>
      </c>
      <c r="I131" s="1">
        <v>45535</v>
      </c>
      <c r="J131" t="s">
        <v>57</v>
      </c>
      <c r="K131">
        <v>2</v>
      </c>
      <c r="L131">
        <v>75821</v>
      </c>
      <c r="M131">
        <v>22188</v>
      </c>
      <c r="N131">
        <v>15972</v>
      </c>
      <c r="O131">
        <v>72140</v>
      </c>
      <c r="P131" t="s">
        <v>25</v>
      </c>
      <c r="Q131" t="s">
        <v>26</v>
      </c>
      <c r="R131" t="s">
        <v>70</v>
      </c>
    </row>
    <row r="132" spans="1:18" x14ac:dyDescent="0.25">
      <c r="A132" t="s">
        <v>312</v>
      </c>
      <c r="B132" t="s">
        <v>313</v>
      </c>
      <c r="C132">
        <v>47</v>
      </c>
      <c r="D132" t="s">
        <v>37</v>
      </c>
      <c r="E132" t="s">
        <v>50</v>
      </c>
      <c r="F132" t="s">
        <v>46</v>
      </c>
      <c r="G132" t="s">
        <v>80</v>
      </c>
      <c r="H132" s="1">
        <v>45578</v>
      </c>
      <c r="I132" s="1">
        <v>45611</v>
      </c>
      <c r="J132" t="s">
        <v>32</v>
      </c>
      <c r="K132">
        <v>17</v>
      </c>
      <c r="L132">
        <v>114200</v>
      </c>
      <c r="M132">
        <v>33596</v>
      </c>
      <c r="N132">
        <v>17154</v>
      </c>
      <c r="O132">
        <v>115325</v>
      </c>
      <c r="P132" t="s">
        <v>41</v>
      </c>
      <c r="Q132" t="s">
        <v>58</v>
      </c>
      <c r="R132" t="s">
        <v>34</v>
      </c>
    </row>
    <row r="133" spans="1:18" x14ac:dyDescent="0.25">
      <c r="A133" t="s">
        <v>314</v>
      </c>
      <c r="B133" t="s">
        <v>315</v>
      </c>
      <c r="C133">
        <v>78</v>
      </c>
      <c r="D133" t="s">
        <v>37</v>
      </c>
      <c r="E133" t="s">
        <v>30</v>
      </c>
      <c r="F133" t="s">
        <v>75</v>
      </c>
      <c r="G133" t="s">
        <v>39</v>
      </c>
      <c r="H133" s="1">
        <v>45296</v>
      </c>
      <c r="I133" s="1">
        <v>45341</v>
      </c>
      <c r="J133" t="s">
        <v>32</v>
      </c>
      <c r="K133">
        <v>4</v>
      </c>
      <c r="L133">
        <v>87289</v>
      </c>
      <c r="M133">
        <v>28772</v>
      </c>
      <c r="N133">
        <v>18070</v>
      </c>
      <c r="O133">
        <v>91829</v>
      </c>
      <c r="P133" t="s">
        <v>51</v>
      </c>
      <c r="Q133" t="s">
        <v>58</v>
      </c>
      <c r="R133" t="s">
        <v>42</v>
      </c>
    </row>
    <row r="134" spans="1:18" x14ac:dyDescent="0.25">
      <c r="A134" t="s">
        <v>316</v>
      </c>
      <c r="B134" t="s">
        <v>317</v>
      </c>
      <c r="C134">
        <v>3</v>
      </c>
      <c r="D134" t="s">
        <v>37</v>
      </c>
      <c r="E134" t="s">
        <v>45</v>
      </c>
      <c r="F134" t="s">
        <v>38</v>
      </c>
      <c r="G134" t="s">
        <v>23</v>
      </c>
      <c r="H134" s="1">
        <v>45557</v>
      </c>
      <c r="I134" s="1">
        <v>45324</v>
      </c>
      <c r="J134" t="s">
        <v>40</v>
      </c>
      <c r="K134">
        <v>14</v>
      </c>
      <c r="L134">
        <v>121506</v>
      </c>
      <c r="M134">
        <v>31857</v>
      </c>
      <c r="N134">
        <v>29631</v>
      </c>
      <c r="O134">
        <v>14364</v>
      </c>
      <c r="P134" t="s">
        <v>63</v>
      </c>
      <c r="Q134" t="s">
        <v>26</v>
      </c>
      <c r="R134" t="s">
        <v>34</v>
      </c>
    </row>
    <row r="135" spans="1:18" x14ac:dyDescent="0.25">
      <c r="A135" t="s">
        <v>318</v>
      </c>
      <c r="B135" t="s">
        <v>319</v>
      </c>
      <c r="C135">
        <v>1</v>
      </c>
      <c r="D135" t="s">
        <v>37</v>
      </c>
      <c r="E135" t="s">
        <v>45</v>
      </c>
      <c r="F135" t="s">
        <v>22</v>
      </c>
      <c r="G135" t="s">
        <v>39</v>
      </c>
      <c r="H135" s="1">
        <v>45636</v>
      </c>
      <c r="I135" s="1">
        <v>45569</v>
      </c>
      <c r="J135" t="s">
        <v>57</v>
      </c>
      <c r="K135">
        <v>10</v>
      </c>
      <c r="L135">
        <v>83513</v>
      </c>
      <c r="M135">
        <v>11776</v>
      </c>
      <c r="N135">
        <v>12892</v>
      </c>
      <c r="O135">
        <v>136867</v>
      </c>
      <c r="P135" t="s">
        <v>25</v>
      </c>
      <c r="Q135" t="s">
        <v>26</v>
      </c>
      <c r="R135" t="s">
        <v>34</v>
      </c>
    </row>
    <row r="136" spans="1:18" x14ac:dyDescent="0.25">
      <c r="A136" t="s">
        <v>320</v>
      </c>
      <c r="B136" t="s">
        <v>321</v>
      </c>
      <c r="C136">
        <v>5</v>
      </c>
      <c r="D136" t="s">
        <v>20</v>
      </c>
      <c r="E136" t="s">
        <v>54</v>
      </c>
      <c r="F136" t="s">
        <v>22</v>
      </c>
      <c r="G136" t="s">
        <v>80</v>
      </c>
      <c r="H136" s="1">
        <v>45421</v>
      </c>
      <c r="I136" s="1">
        <v>45312</v>
      </c>
      <c r="J136" t="s">
        <v>40</v>
      </c>
      <c r="K136">
        <v>3</v>
      </c>
      <c r="L136">
        <v>155946</v>
      </c>
      <c r="M136">
        <v>33835</v>
      </c>
      <c r="N136">
        <v>12456</v>
      </c>
      <c r="O136">
        <v>174421</v>
      </c>
      <c r="P136" t="s">
        <v>25</v>
      </c>
      <c r="Q136" t="s">
        <v>33</v>
      </c>
      <c r="R136" t="s">
        <v>27</v>
      </c>
    </row>
    <row r="137" spans="1:18" x14ac:dyDescent="0.25">
      <c r="A137" t="s">
        <v>322</v>
      </c>
      <c r="B137" t="s">
        <v>323</v>
      </c>
      <c r="C137">
        <v>14</v>
      </c>
      <c r="D137" t="s">
        <v>20</v>
      </c>
      <c r="E137" t="s">
        <v>30</v>
      </c>
      <c r="F137" t="s">
        <v>46</v>
      </c>
      <c r="G137" t="s">
        <v>23</v>
      </c>
      <c r="H137" s="1">
        <v>45558</v>
      </c>
      <c r="I137" s="1">
        <v>45446</v>
      </c>
      <c r="J137" t="s">
        <v>32</v>
      </c>
      <c r="K137">
        <v>3</v>
      </c>
      <c r="L137">
        <v>187003</v>
      </c>
      <c r="M137">
        <v>10788</v>
      </c>
      <c r="N137">
        <v>16141</v>
      </c>
      <c r="O137">
        <v>139763</v>
      </c>
      <c r="P137" t="s">
        <v>51</v>
      </c>
      <c r="Q137" t="s">
        <v>26</v>
      </c>
      <c r="R137" t="s">
        <v>27</v>
      </c>
    </row>
    <row r="138" spans="1:18" x14ac:dyDescent="0.25">
      <c r="A138" t="s">
        <v>324</v>
      </c>
      <c r="B138" t="s">
        <v>325</v>
      </c>
      <c r="C138">
        <v>27</v>
      </c>
      <c r="D138" t="s">
        <v>20</v>
      </c>
      <c r="E138" t="s">
        <v>50</v>
      </c>
      <c r="F138" t="s">
        <v>38</v>
      </c>
      <c r="G138" t="s">
        <v>39</v>
      </c>
      <c r="H138" s="1">
        <v>45469</v>
      </c>
      <c r="I138" s="1">
        <v>45360</v>
      </c>
      <c r="J138" t="s">
        <v>24</v>
      </c>
      <c r="K138">
        <v>15</v>
      </c>
      <c r="L138">
        <v>143746</v>
      </c>
      <c r="M138">
        <v>6660</v>
      </c>
      <c r="N138">
        <v>14498</v>
      </c>
      <c r="O138">
        <v>103598</v>
      </c>
      <c r="P138" t="s">
        <v>51</v>
      </c>
      <c r="Q138" t="s">
        <v>87</v>
      </c>
      <c r="R138" t="s">
        <v>27</v>
      </c>
    </row>
    <row r="139" spans="1:18" x14ac:dyDescent="0.25">
      <c r="A139" t="s">
        <v>326</v>
      </c>
      <c r="B139" t="s">
        <v>327</v>
      </c>
      <c r="C139">
        <v>9</v>
      </c>
      <c r="D139" t="s">
        <v>20</v>
      </c>
      <c r="E139" t="s">
        <v>21</v>
      </c>
      <c r="F139" t="s">
        <v>38</v>
      </c>
      <c r="G139" t="s">
        <v>23</v>
      </c>
      <c r="H139" s="1">
        <v>45544</v>
      </c>
      <c r="I139" s="1">
        <v>45658</v>
      </c>
      <c r="J139" t="s">
        <v>57</v>
      </c>
      <c r="K139">
        <v>6</v>
      </c>
      <c r="L139">
        <v>55516</v>
      </c>
      <c r="M139">
        <v>5478</v>
      </c>
      <c r="N139">
        <v>6805</v>
      </c>
      <c r="O139">
        <v>205539</v>
      </c>
      <c r="P139" t="s">
        <v>63</v>
      </c>
      <c r="Q139" t="s">
        <v>26</v>
      </c>
      <c r="R139" t="s">
        <v>70</v>
      </c>
    </row>
    <row r="140" spans="1:18" x14ac:dyDescent="0.25">
      <c r="A140" t="s">
        <v>328</v>
      </c>
      <c r="B140" t="s">
        <v>329</v>
      </c>
      <c r="C140">
        <v>79</v>
      </c>
      <c r="D140" t="s">
        <v>37</v>
      </c>
      <c r="E140" t="s">
        <v>69</v>
      </c>
      <c r="F140" t="s">
        <v>75</v>
      </c>
      <c r="G140" t="s">
        <v>80</v>
      </c>
      <c r="H140" s="1">
        <v>45347</v>
      </c>
      <c r="I140" s="1">
        <v>45506</v>
      </c>
      <c r="J140" t="s">
        <v>24</v>
      </c>
      <c r="K140">
        <v>17</v>
      </c>
      <c r="L140">
        <v>196758</v>
      </c>
      <c r="M140">
        <v>9210</v>
      </c>
      <c r="N140">
        <v>19282</v>
      </c>
      <c r="O140">
        <v>184968</v>
      </c>
      <c r="P140" t="s">
        <v>41</v>
      </c>
      <c r="Q140" t="s">
        <v>87</v>
      </c>
      <c r="R140" t="s">
        <v>34</v>
      </c>
    </row>
    <row r="141" spans="1:18" x14ac:dyDescent="0.25">
      <c r="A141" t="s">
        <v>330</v>
      </c>
      <c r="B141" t="s">
        <v>331</v>
      </c>
      <c r="C141">
        <v>15</v>
      </c>
      <c r="D141" t="s">
        <v>37</v>
      </c>
      <c r="E141" t="s">
        <v>54</v>
      </c>
      <c r="F141" t="s">
        <v>31</v>
      </c>
      <c r="G141" t="s">
        <v>39</v>
      </c>
      <c r="H141" s="1">
        <v>45374</v>
      </c>
      <c r="I141" s="1">
        <v>45435</v>
      </c>
      <c r="J141" t="s">
        <v>57</v>
      </c>
      <c r="K141">
        <v>12</v>
      </c>
      <c r="L141">
        <v>74212</v>
      </c>
      <c r="M141">
        <v>11922</v>
      </c>
      <c r="N141">
        <v>13221</v>
      </c>
      <c r="O141">
        <v>65062</v>
      </c>
      <c r="P141" t="s">
        <v>51</v>
      </c>
      <c r="Q141" t="s">
        <v>26</v>
      </c>
      <c r="R141" t="s">
        <v>34</v>
      </c>
    </row>
    <row r="142" spans="1:18" x14ac:dyDescent="0.25">
      <c r="A142" t="s">
        <v>332</v>
      </c>
      <c r="B142" t="s">
        <v>333</v>
      </c>
      <c r="C142">
        <v>42</v>
      </c>
      <c r="D142" t="s">
        <v>37</v>
      </c>
      <c r="E142" t="s">
        <v>45</v>
      </c>
      <c r="F142" t="s">
        <v>22</v>
      </c>
      <c r="G142" t="s">
        <v>80</v>
      </c>
      <c r="H142" s="1">
        <v>45390</v>
      </c>
      <c r="I142" s="1">
        <v>45524</v>
      </c>
      <c r="J142" t="s">
        <v>40</v>
      </c>
      <c r="K142">
        <v>11</v>
      </c>
      <c r="L142">
        <v>138498</v>
      </c>
      <c r="M142">
        <v>37289</v>
      </c>
      <c r="N142">
        <v>7495</v>
      </c>
      <c r="O142">
        <v>236338</v>
      </c>
      <c r="P142" t="s">
        <v>41</v>
      </c>
      <c r="Q142" t="s">
        <v>33</v>
      </c>
      <c r="R142" t="s">
        <v>70</v>
      </c>
    </row>
    <row r="143" spans="1:18" x14ac:dyDescent="0.25">
      <c r="A143" t="s">
        <v>334</v>
      </c>
      <c r="B143" t="s">
        <v>335</v>
      </c>
      <c r="C143">
        <v>77</v>
      </c>
      <c r="D143" t="s">
        <v>20</v>
      </c>
      <c r="E143" t="s">
        <v>21</v>
      </c>
      <c r="F143" t="s">
        <v>75</v>
      </c>
      <c r="G143" t="s">
        <v>80</v>
      </c>
      <c r="H143" s="1">
        <v>45440</v>
      </c>
      <c r="I143" s="1">
        <v>45505</v>
      </c>
      <c r="J143" t="s">
        <v>40</v>
      </c>
      <c r="K143">
        <v>4</v>
      </c>
      <c r="L143">
        <v>135970</v>
      </c>
      <c r="M143">
        <v>34340</v>
      </c>
      <c r="N143">
        <v>12927</v>
      </c>
      <c r="O143">
        <v>218834</v>
      </c>
      <c r="P143" t="s">
        <v>63</v>
      </c>
      <c r="Q143" t="s">
        <v>87</v>
      </c>
      <c r="R143" t="s">
        <v>70</v>
      </c>
    </row>
    <row r="144" spans="1:18" x14ac:dyDescent="0.25">
      <c r="A144" t="s">
        <v>336</v>
      </c>
      <c r="B144" t="s">
        <v>337</v>
      </c>
      <c r="C144">
        <v>51</v>
      </c>
      <c r="D144" t="s">
        <v>20</v>
      </c>
      <c r="E144" t="s">
        <v>21</v>
      </c>
      <c r="F144" t="s">
        <v>66</v>
      </c>
      <c r="G144" t="s">
        <v>23</v>
      </c>
      <c r="H144" s="1">
        <v>45620</v>
      </c>
      <c r="I144" s="1">
        <v>45371</v>
      </c>
      <c r="J144" t="s">
        <v>40</v>
      </c>
      <c r="K144">
        <v>6</v>
      </c>
      <c r="L144">
        <v>95009</v>
      </c>
      <c r="M144">
        <v>40850</v>
      </c>
      <c r="N144">
        <v>14282</v>
      </c>
      <c r="O144">
        <v>152933</v>
      </c>
      <c r="P144" t="s">
        <v>41</v>
      </c>
      <c r="Q144" t="s">
        <v>47</v>
      </c>
      <c r="R144" t="s">
        <v>70</v>
      </c>
    </row>
    <row r="145" spans="1:18" x14ac:dyDescent="0.25">
      <c r="A145" t="s">
        <v>338</v>
      </c>
      <c r="B145" t="s">
        <v>339</v>
      </c>
      <c r="C145">
        <v>63</v>
      </c>
      <c r="D145" t="s">
        <v>37</v>
      </c>
      <c r="E145" t="s">
        <v>69</v>
      </c>
      <c r="F145" t="s">
        <v>22</v>
      </c>
      <c r="G145" t="s">
        <v>39</v>
      </c>
      <c r="H145" s="1">
        <v>45447</v>
      </c>
      <c r="I145" s="1">
        <v>45506</v>
      </c>
      <c r="J145" t="s">
        <v>40</v>
      </c>
      <c r="K145">
        <v>1</v>
      </c>
      <c r="L145">
        <v>166015</v>
      </c>
      <c r="M145">
        <v>39163</v>
      </c>
      <c r="N145">
        <v>24183</v>
      </c>
      <c r="O145">
        <v>235909</v>
      </c>
      <c r="P145" t="s">
        <v>25</v>
      </c>
      <c r="Q145" t="s">
        <v>87</v>
      </c>
      <c r="R145" t="s">
        <v>34</v>
      </c>
    </row>
    <row r="146" spans="1:18" x14ac:dyDescent="0.25">
      <c r="A146" t="s">
        <v>340</v>
      </c>
      <c r="B146" t="s">
        <v>341</v>
      </c>
      <c r="C146">
        <v>52</v>
      </c>
      <c r="D146" t="s">
        <v>37</v>
      </c>
      <c r="E146" t="s">
        <v>30</v>
      </c>
      <c r="F146" t="s">
        <v>75</v>
      </c>
      <c r="G146" t="s">
        <v>80</v>
      </c>
      <c r="H146" s="1">
        <v>45481</v>
      </c>
      <c r="I146" s="1">
        <v>45408</v>
      </c>
      <c r="J146" t="s">
        <v>40</v>
      </c>
      <c r="K146">
        <v>16</v>
      </c>
      <c r="L146">
        <v>49816</v>
      </c>
      <c r="M146">
        <v>49175</v>
      </c>
      <c r="N146">
        <v>21066</v>
      </c>
      <c r="O146">
        <v>96302</v>
      </c>
      <c r="P146" t="s">
        <v>41</v>
      </c>
      <c r="Q146" t="s">
        <v>33</v>
      </c>
      <c r="R146" t="s">
        <v>34</v>
      </c>
    </row>
    <row r="147" spans="1:18" x14ac:dyDescent="0.25">
      <c r="A147" t="s">
        <v>342</v>
      </c>
      <c r="B147" t="s">
        <v>343</v>
      </c>
      <c r="C147">
        <v>4</v>
      </c>
      <c r="D147" t="s">
        <v>20</v>
      </c>
      <c r="E147" t="s">
        <v>45</v>
      </c>
      <c r="F147" t="s">
        <v>22</v>
      </c>
      <c r="G147" t="s">
        <v>80</v>
      </c>
      <c r="H147" s="1">
        <v>45554</v>
      </c>
      <c r="I147" s="1">
        <v>45384</v>
      </c>
      <c r="J147" t="s">
        <v>24</v>
      </c>
      <c r="K147">
        <v>15</v>
      </c>
      <c r="L147">
        <v>9138</v>
      </c>
      <c r="M147">
        <v>19642</v>
      </c>
      <c r="N147">
        <v>26787</v>
      </c>
      <c r="O147">
        <v>240782</v>
      </c>
      <c r="P147" t="s">
        <v>63</v>
      </c>
      <c r="Q147" t="s">
        <v>87</v>
      </c>
      <c r="R147" t="s">
        <v>27</v>
      </c>
    </row>
    <row r="148" spans="1:18" x14ac:dyDescent="0.25">
      <c r="A148" t="s">
        <v>344</v>
      </c>
      <c r="B148" t="s">
        <v>345</v>
      </c>
      <c r="C148">
        <v>23</v>
      </c>
      <c r="D148" t="s">
        <v>20</v>
      </c>
      <c r="E148" t="s">
        <v>50</v>
      </c>
      <c r="F148" t="s">
        <v>31</v>
      </c>
      <c r="G148" t="s">
        <v>39</v>
      </c>
      <c r="H148" s="1">
        <v>45371</v>
      </c>
      <c r="I148" s="1">
        <v>45562</v>
      </c>
      <c r="J148" t="s">
        <v>40</v>
      </c>
      <c r="K148">
        <v>17</v>
      </c>
      <c r="L148">
        <v>96176</v>
      </c>
      <c r="M148">
        <v>12094</v>
      </c>
      <c r="N148">
        <v>2730</v>
      </c>
      <c r="O148">
        <v>71928</v>
      </c>
      <c r="P148" t="s">
        <v>63</v>
      </c>
      <c r="Q148" t="s">
        <v>26</v>
      </c>
      <c r="R148" t="s">
        <v>27</v>
      </c>
    </row>
    <row r="149" spans="1:18" x14ac:dyDescent="0.25">
      <c r="A149" t="s">
        <v>346</v>
      </c>
      <c r="B149" t="s">
        <v>347</v>
      </c>
      <c r="C149">
        <v>15</v>
      </c>
      <c r="D149" t="s">
        <v>37</v>
      </c>
      <c r="E149" t="s">
        <v>21</v>
      </c>
      <c r="F149" t="s">
        <v>66</v>
      </c>
      <c r="G149" t="s">
        <v>80</v>
      </c>
      <c r="H149" s="1">
        <v>45543</v>
      </c>
      <c r="I149" s="1">
        <v>45460</v>
      </c>
      <c r="J149" t="s">
        <v>32</v>
      </c>
      <c r="K149">
        <v>8</v>
      </c>
      <c r="L149">
        <v>80945</v>
      </c>
      <c r="M149">
        <v>23423</v>
      </c>
      <c r="N149">
        <v>7011</v>
      </c>
      <c r="O149">
        <v>245715</v>
      </c>
      <c r="P149" t="s">
        <v>63</v>
      </c>
      <c r="Q149" t="s">
        <v>26</v>
      </c>
      <c r="R149" t="s">
        <v>34</v>
      </c>
    </row>
    <row r="150" spans="1:18" x14ac:dyDescent="0.25">
      <c r="A150" t="s">
        <v>348</v>
      </c>
      <c r="B150" t="s">
        <v>349</v>
      </c>
      <c r="C150">
        <v>43</v>
      </c>
      <c r="D150" t="s">
        <v>37</v>
      </c>
      <c r="E150" t="s">
        <v>69</v>
      </c>
      <c r="F150" t="s">
        <v>31</v>
      </c>
      <c r="G150" t="s">
        <v>80</v>
      </c>
      <c r="H150" s="1">
        <v>45388</v>
      </c>
      <c r="I150" s="1">
        <v>45350</v>
      </c>
      <c r="J150" t="s">
        <v>32</v>
      </c>
      <c r="K150">
        <v>12</v>
      </c>
      <c r="L150">
        <v>9017</v>
      </c>
      <c r="M150">
        <v>34418</v>
      </c>
      <c r="N150">
        <v>17012</v>
      </c>
      <c r="O150">
        <v>222303</v>
      </c>
      <c r="P150" t="s">
        <v>41</v>
      </c>
      <c r="Q150" t="s">
        <v>33</v>
      </c>
      <c r="R150" t="s">
        <v>27</v>
      </c>
    </row>
    <row r="151" spans="1:18" x14ac:dyDescent="0.25">
      <c r="A151" t="s">
        <v>350</v>
      </c>
      <c r="B151" t="s">
        <v>351</v>
      </c>
      <c r="C151">
        <v>29</v>
      </c>
      <c r="D151" t="s">
        <v>20</v>
      </c>
      <c r="E151" t="s">
        <v>50</v>
      </c>
      <c r="F151" t="s">
        <v>66</v>
      </c>
      <c r="G151" t="s">
        <v>39</v>
      </c>
      <c r="H151" s="1">
        <v>45551</v>
      </c>
      <c r="I151" s="1">
        <v>45576</v>
      </c>
      <c r="J151" t="s">
        <v>24</v>
      </c>
      <c r="K151">
        <v>10</v>
      </c>
      <c r="L151">
        <v>15451</v>
      </c>
      <c r="M151">
        <v>6741</v>
      </c>
      <c r="N151">
        <v>9961</v>
      </c>
      <c r="O151">
        <v>49347</v>
      </c>
      <c r="P151" t="s">
        <v>25</v>
      </c>
      <c r="Q151" t="s">
        <v>58</v>
      </c>
      <c r="R151" t="s">
        <v>70</v>
      </c>
    </row>
    <row r="152" spans="1:18" x14ac:dyDescent="0.25">
      <c r="A152" t="s">
        <v>352</v>
      </c>
      <c r="B152" t="s">
        <v>353</v>
      </c>
      <c r="C152">
        <v>36</v>
      </c>
      <c r="D152" t="s">
        <v>37</v>
      </c>
      <c r="E152" t="s">
        <v>30</v>
      </c>
      <c r="F152" t="s">
        <v>46</v>
      </c>
      <c r="G152" t="s">
        <v>39</v>
      </c>
      <c r="H152" s="1">
        <v>45551</v>
      </c>
      <c r="I152" s="1">
        <v>45318</v>
      </c>
      <c r="J152" t="s">
        <v>57</v>
      </c>
      <c r="K152">
        <v>15</v>
      </c>
      <c r="L152">
        <v>199028</v>
      </c>
      <c r="M152">
        <v>47049</v>
      </c>
      <c r="N152">
        <v>20556</v>
      </c>
      <c r="O152">
        <v>11121</v>
      </c>
      <c r="P152" t="s">
        <v>51</v>
      </c>
      <c r="Q152" t="s">
        <v>26</v>
      </c>
      <c r="R152" t="s">
        <v>42</v>
      </c>
    </row>
    <row r="153" spans="1:18" x14ac:dyDescent="0.25">
      <c r="A153" t="s">
        <v>354</v>
      </c>
      <c r="B153" t="s">
        <v>355</v>
      </c>
      <c r="C153">
        <v>13</v>
      </c>
      <c r="D153" t="s">
        <v>37</v>
      </c>
      <c r="E153" t="s">
        <v>45</v>
      </c>
      <c r="F153" t="s">
        <v>75</v>
      </c>
      <c r="G153" t="s">
        <v>39</v>
      </c>
      <c r="H153" s="1">
        <v>45394</v>
      </c>
      <c r="I153" s="1">
        <v>45661</v>
      </c>
      <c r="J153" t="s">
        <v>32</v>
      </c>
      <c r="K153">
        <v>9</v>
      </c>
      <c r="L153">
        <v>98863</v>
      </c>
      <c r="M153">
        <v>7838</v>
      </c>
      <c r="N153">
        <v>26677</v>
      </c>
      <c r="O153">
        <v>91793</v>
      </c>
      <c r="P153" t="s">
        <v>25</v>
      </c>
      <c r="Q153" t="s">
        <v>47</v>
      </c>
      <c r="R153" t="s">
        <v>27</v>
      </c>
    </row>
    <row r="154" spans="1:18" x14ac:dyDescent="0.25">
      <c r="A154" t="s">
        <v>356</v>
      </c>
      <c r="B154" t="s">
        <v>357</v>
      </c>
      <c r="C154">
        <v>32</v>
      </c>
      <c r="D154" t="s">
        <v>37</v>
      </c>
      <c r="E154" t="s">
        <v>30</v>
      </c>
      <c r="F154" t="s">
        <v>66</v>
      </c>
      <c r="G154" t="s">
        <v>39</v>
      </c>
      <c r="H154" s="1">
        <v>45331</v>
      </c>
      <c r="I154" s="1">
        <v>45358</v>
      </c>
      <c r="J154" t="s">
        <v>57</v>
      </c>
      <c r="K154">
        <v>2</v>
      </c>
      <c r="L154">
        <v>15278</v>
      </c>
      <c r="M154">
        <v>4262</v>
      </c>
      <c r="N154">
        <v>5265</v>
      </c>
      <c r="O154">
        <v>36164</v>
      </c>
      <c r="P154" t="s">
        <v>41</v>
      </c>
      <c r="Q154" t="s">
        <v>33</v>
      </c>
      <c r="R154" t="s">
        <v>34</v>
      </c>
    </row>
    <row r="155" spans="1:18" x14ac:dyDescent="0.25">
      <c r="A155" t="s">
        <v>358</v>
      </c>
      <c r="B155" t="s">
        <v>359</v>
      </c>
      <c r="C155">
        <v>71</v>
      </c>
      <c r="D155" t="s">
        <v>20</v>
      </c>
      <c r="E155" t="s">
        <v>21</v>
      </c>
      <c r="F155" t="s">
        <v>31</v>
      </c>
      <c r="G155" t="s">
        <v>23</v>
      </c>
      <c r="H155" s="1">
        <v>45564</v>
      </c>
      <c r="I155" s="1">
        <v>45540</v>
      </c>
      <c r="J155" t="s">
        <v>24</v>
      </c>
      <c r="K155">
        <v>5</v>
      </c>
      <c r="L155">
        <v>48764</v>
      </c>
      <c r="M155">
        <v>5996</v>
      </c>
      <c r="N155">
        <v>20854</v>
      </c>
      <c r="O155">
        <v>33491</v>
      </c>
      <c r="P155" t="s">
        <v>41</v>
      </c>
      <c r="Q155" t="s">
        <v>87</v>
      </c>
      <c r="R155" t="s">
        <v>27</v>
      </c>
    </row>
    <row r="156" spans="1:18" x14ac:dyDescent="0.25">
      <c r="A156" t="s">
        <v>360</v>
      </c>
      <c r="B156" t="s">
        <v>361</v>
      </c>
      <c r="C156">
        <v>59</v>
      </c>
      <c r="D156" t="s">
        <v>20</v>
      </c>
      <c r="E156" t="s">
        <v>50</v>
      </c>
      <c r="F156" t="s">
        <v>22</v>
      </c>
      <c r="G156" t="s">
        <v>39</v>
      </c>
      <c r="H156" s="1">
        <v>45392</v>
      </c>
      <c r="I156" s="1">
        <v>45546</v>
      </c>
      <c r="J156" t="s">
        <v>57</v>
      </c>
      <c r="K156">
        <v>6</v>
      </c>
      <c r="L156">
        <v>128030</v>
      </c>
      <c r="M156">
        <v>45594</v>
      </c>
      <c r="N156">
        <v>24429</v>
      </c>
      <c r="O156">
        <v>67222</v>
      </c>
      <c r="P156" t="s">
        <v>51</v>
      </c>
      <c r="Q156" t="s">
        <v>87</v>
      </c>
      <c r="R156" t="s">
        <v>27</v>
      </c>
    </row>
    <row r="157" spans="1:18" x14ac:dyDescent="0.25">
      <c r="A157" t="s">
        <v>362</v>
      </c>
      <c r="B157" t="s">
        <v>363</v>
      </c>
      <c r="C157">
        <v>86</v>
      </c>
      <c r="D157" t="s">
        <v>20</v>
      </c>
      <c r="E157" t="s">
        <v>50</v>
      </c>
      <c r="F157" t="s">
        <v>66</v>
      </c>
      <c r="G157" t="s">
        <v>23</v>
      </c>
      <c r="H157" s="1">
        <v>45650</v>
      </c>
      <c r="I157" s="1">
        <v>45336</v>
      </c>
      <c r="J157" t="s">
        <v>57</v>
      </c>
      <c r="K157">
        <v>7</v>
      </c>
      <c r="L157">
        <v>137206</v>
      </c>
      <c r="M157">
        <v>23164</v>
      </c>
      <c r="N157">
        <v>29320</v>
      </c>
      <c r="O157">
        <v>162237</v>
      </c>
      <c r="P157" t="s">
        <v>41</v>
      </c>
      <c r="Q157" t="s">
        <v>47</v>
      </c>
      <c r="R157" t="s">
        <v>27</v>
      </c>
    </row>
    <row r="158" spans="1:18" x14ac:dyDescent="0.25">
      <c r="A158" t="s">
        <v>364</v>
      </c>
      <c r="B158" t="s">
        <v>365</v>
      </c>
      <c r="C158">
        <v>28</v>
      </c>
      <c r="D158" t="s">
        <v>20</v>
      </c>
      <c r="E158" t="s">
        <v>50</v>
      </c>
      <c r="F158" t="s">
        <v>75</v>
      </c>
      <c r="G158" t="s">
        <v>23</v>
      </c>
      <c r="H158" s="1">
        <v>45599</v>
      </c>
      <c r="I158" s="1">
        <v>45389</v>
      </c>
      <c r="J158" t="s">
        <v>57</v>
      </c>
      <c r="K158">
        <v>1</v>
      </c>
      <c r="L158">
        <v>67943</v>
      </c>
      <c r="M158">
        <v>36595</v>
      </c>
      <c r="N158">
        <v>13772</v>
      </c>
      <c r="O158">
        <v>11748</v>
      </c>
      <c r="P158" t="s">
        <v>63</v>
      </c>
      <c r="Q158" t="s">
        <v>26</v>
      </c>
      <c r="R158" t="s">
        <v>42</v>
      </c>
    </row>
    <row r="159" spans="1:18" x14ac:dyDescent="0.25">
      <c r="A159" t="s">
        <v>366</v>
      </c>
      <c r="B159" t="s">
        <v>367</v>
      </c>
      <c r="C159">
        <v>66</v>
      </c>
      <c r="D159" t="s">
        <v>20</v>
      </c>
      <c r="E159" t="s">
        <v>21</v>
      </c>
      <c r="F159" t="s">
        <v>66</v>
      </c>
      <c r="G159" t="s">
        <v>23</v>
      </c>
      <c r="H159" s="1">
        <v>45512</v>
      </c>
      <c r="I159" s="1">
        <v>45334</v>
      </c>
      <c r="J159" t="s">
        <v>57</v>
      </c>
      <c r="K159">
        <v>7</v>
      </c>
      <c r="L159">
        <v>100667</v>
      </c>
      <c r="M159">
        <v>31257</v>
      </c>
      <c r="N159">
        <v>6052</v>
      </c>
      <c r="O159">
        <v>237653</v>
      </c>
      <c r="P159" t="s">
        <v>63</v>
      </c>
      <c r="Q159" t="s">
        <v>33</v>
      </c>
      <c r="R159" t="s">
        <v>70</v>
      </c>
    </row>
    <row r="160" spans="1:18" x14ac:dyDescent="0.25">
      <c r="A160" t="s">
        <v>368</v>
      </c>
      <c r="B160" t="s">
        <v>369</v>
      </c>
      <c r="C160">
        <v>42</v>
      </c>
      <c r="D160" t="s">
        <v>20</v>
      </c>
      <c r="E160" t="s">
        <v>21</v>
      </c>
      <c r="F160" t="s">
        <v>38</v>
      </c>
      <c r="G160" t="s">
        <v>80</v>
      </c>
      <c r="H160" s="1">
        <v>45599</v>
      </c>
      <c r="I160" s="1">
        <v>45519</v>
      </c>
      <c r="J160" t="s">
        <v>24</v>
      </c>
      <c r="K160">
        <v>12</v>
      </c>
      <c r="L160">
        <v>59318</v>
      </c>
      <c r="M160">
        <v>15211</v>
      </c>
      <c r="N160">
        <v>1127</v>
      </c>
      <c r="O160">
        <v>34553</v>
      </c>
      <c r="P160" t="s">
        <v>63</v>
      </c>
      <c r="Q160" t="s">
        <v>47</v>
      </c>
      <c r="R160" t="s">
        <v>34</v>
      </c>
    </row>
    <row r="161" spans="1:18" x14ac:dyDescent="0.25">
      <c r="A161" t="s">
        <v>370</v>
      </c>
      <c r="B161" t="s">
        <v>371</v>
      </c>
      <c r="C161">
        <v>45</v>
      </c>
      <c r="D161" t="s">
        <v>20</v>
      </c>
      <c r="E161" t="s">
        <v>30</v>
      </c>
      <c r="F161" t="s">
        <v>22</v>
      </c>
      <c r="G161" t="s">
        <v>23</v>
      </c>
      <c r="H161" s="1">
        <v>45415</v>
      </c>
      <c r="I161" s="1">
        <v>45554</v>
      </c>
      <c r="J161" t="s">
        <v>32</v>
      </c>
      <c r="K161">
        <v>16</v>
      </c>
      <c r="L161">
        <v>108423</v>
      </c>
      <c r="M161">
        <v>31453</v>
      </c>
      <c r="N161">
        <v>12489</v>
      </c>
      <c r="O161">
        <v>124547</v>
      </c>
      <c r="P161" t="s">
        <v>63</v>
      </c>
      <c r="Q161" t="s">
        <v>26</v>
      </c>
      <c r="R161" t="s">
        <v>42</v>
      </c>
    </row>
    <row r="162" spans="1:18" x14ac:dyDescent="0.25">
      <c r="A162" t="s">
        <v>372</v>
      </c>
      <c r="B162" t="s">
        <v>373</v>
      </c>
      <c r="C162">
        <v>62</v>
      </c>
      <c r="D162" t="s">
        <v>37</v>
      </c>
      <c r="E162" t="s">
        <v>54</v>
      </c>
      <c r="F162" t="s">
        <v>75</v>
      </c>
      <c r="G162" t="s">
        <v>23</v>
      </c>
      <c r="H162" s="1">
        <v>45522</v>
      </c>
      <c r="I162" s="1">
        <v>45459</v>
      </c>
      <c r="J162" t="s">
        <v>40</v>
      </c>
      <c r="K162">
        <v>16</v>
      </c>
      <c r="L162">
        <v>108998</v>
      </c>
      <c r="M162">
        <v>6232</v>
      </c>
      <c r="N162">
        <v>14280</v>
      </c>
      <c r="O162">
        <v>68380</v>
      </c>
      <c r="P162" t="s">
        <v>63</v>
      </c>
      <c r="Q162" t="s">
        <v>33</v>
      </c>
      <c r="R162" t="s">
        <v>34</v>
      </c>
    </row>
    <row r="163" spans="1:18" x14ac:dyDescent="0.25">
      <c r="A163" t="s">
        <v>374</v>
      </c>
      <c r="B163" t="s">
        <v>375</v>
      </c>
      <c r="C163">
        <v>57</v>
      </c>
      <c r="D163" t="s">
        <v>37</v>
      </c>
      <c r="E163" t="s">
        <v>30</v>
      </c>
      <c r="F163" t="s">
        <v>75</v>
      </c>
      <c r="G163" t="s">
        <v>80</v>
      </c>
      <c r="H163" s="1">
        <v>45469</v>
      </c>
      <c r="I163" s="1">
        <v>45571</v>
      </c>
      <c r="J163" t="s">
        <v>57</v>
      </c>
      <c r="K163">
        <v>11</v>
      </c>
      <c r="L163">
        <v>65128</v>
      </c>
      <c r="M163">
        <v>3217</v>
      </c>
      <c r="N163">
        <v>7089</v>
      </c>
      <c r="O163">
        <v>52331</v>
      </c>
      <c r="P163" t="s">
        <v>41</v>
      </c>
      <c r="Q163" t="s">
        <v>87</v>
      </c>
      <c r="R163" t="s">
        <v>34</v>
      </c>
    </row>
    <row r="164" spans="1:18" x14ac:dyDescent="0.25">
      <c r="A164" t="s">
        <v>376</v>
      </c>
      <c r="B164" t="s">
        <v>377</v>
      </c>
      <c r="C164">
        <v>6</v>
      </c>
      <c r="D164" t="s">
        <v>37</v>
      </c>
      <c r="E164" t="s">
        <v>45</v>
      </c>
      <c r="F164" t="s">
        <v>46</v>
      </c>
      <c r="G164" t="s">
        <v>80</v>
      </c>
      <c r="H164" s="1">
        <v>45354</v>
      </c>
      <c r="I164" s="1">
        <v>45381</v>
      </c>
      <c r="J164" t="s">
        <v>32</v>
      </c>
      <c r="K164">
        <v>4</v>
      </c>
      <c r="L164">
        <v>26869</v>
      </c>
      <c r="M164">
        <v>25229</v>
      </c>
      <c r="N164">
        <v>2544</v>
      </c>
      <c r="O164">
        <v>235105</v>
      </c>
      <c r="P164" t="s">
        <v>51</v>
      </c>
      <c r="Q164" t="s">
        <v>33</v>
      </c>
      <c r="R164" t="s">
        <v>34</v>
      </c>
    </row>
    <row r="165" spans="1:18" x14ac:dyDescent="0.25">
      <c r="A165" t="s">
        <v>378</v>
      </c>
      <c r="B165" t="s">
        <v>379</v>
      </c>
      <c r="C165">
        <v>28</v>
      </c>
      <c r="D165" t="s">
        <v>37</v>
      </c>
      <c r="E165" t="s">
        <v>69</v>
      </c>
      <c r="F165" t="s">
        <v>31</v>
      </c>
      <c r="G165" t="s">
        <v>80</v>
      </c>
      <c r="H165" s="1">
        <v>45407</v>
      </c>
      <c r="I165" s="1">
        <v>45470</v>
      </c>
      <c r="J165" t="s">
        <v>32</v>
      </c>
      <c r="K165">
        <v>13</v>
      </c>
      <c r="L165">
        <v>10039</v>
      </c>
      <c r="M165">
        <v>15232</v>
      </c>
      <c r="N165">
        <v>28628</v>
      </c>
      <c r="O165">
        <v>235916</v>
      </c>
      <c r="P165" t="s">
        <v>51</v>
      </c>
      <c r="Q165" t="s">
        <v>58</v>
      </c>
      <c r="R165" t="s">
        <v>42</v>
      </c>
    </row>
    <row r="166" spans="1:18" x14ac:dyDescent="0.25">
      <c r="A166" t="s">
        <v>380</v>
      </c>
      <c r="B166" t="s">
        <v>381</v>
      </c>
      <c r="C166">
        <v>28</v>
      </c>
      <c r="D166" t="s">
        <v>37</v>
      </c>
      <c r="E166" t="s">
        <v>50</v>
      </c>
      <c r="F166" t="s">
        <v>46</v>
      </c>
      <c r="G166" t="s">
        <v>39</v>
      </c>
      <c r="H166" s="1">
        <v>45482</v>
      </c>
      <c r="I166" s="1">
        <v>45489</v>
      </c>
      <c r="J166" t="s">
        <v>24</v>
      </c>
      <c r="K166">
        <v>7</v>
      </c>
      <c r="L166">
        <v>157353</v>
      </c>
      <c r="M166">
        <v>26613</v>
      </c>
      <c r="N166">
        <v>13671</v>
      </c>
      <c r="O166">
        <v>128617</v>
      </c>
      <c r="P166" t="s">
        <v>63</v>
      </c>
      <c r="Q166" t="s">
        <v>33</v>
      </c>
      <c r="R166" t="s">
        <v>70</v>
      </c>
    </row>
    <row r="167" spans="1:18" x14ac:dyDescent="0.25">
      <c r="A167" t="s">
        <v>382</v>
      </c>
      <c r="B167" t="s">
        <v>383</v>
      </c>
      <c r="C167">
        <v>44</v>
      </c>
      <c r="D167" t="s">
        <v>37</v>
      </c>
      <c r="E167" t="s">
        <v>54</v>
      </c>
      <c r="F167" t="s">
        <v>75</v>
      </c>
      <c r="G167" t="s">
        <v>80</v>
      </c>
      <c r="H167" s="1">
        <v>45353</v>
      </c>
      <c r="I167" s="1">
        <v>45599</v>
      </c>
      <c r="J167" t="s">
        <v>32</v>
      </c>
      <c r="K167">
        <v>4</v>
      </c>
      <c r="L167">
        <v>117935</v>
      </c>
      <c r="M167">
        <v>15026</v>
      </c>
      <c r="N167">
        <v>19225</v>
      </c>
      <c r="O167">
        <v>47560</v>
      </c>
      <c r="P167" t="s">
        <v>41</v>
      </c>
      <c r="Q167" t="s">
        <v>58</v>
      </c>
      <c r="R167" t="s">
        <v>34</v>
      </c>
    </row>
    <row r="168" spans="1:18" x14ac:dyDescent="0.25">
      <c r="A168" t="s">
        <v>384</v>
      </c>
      <c r="B168" t="s">
        <v>385</v>
      </c>
      <c r="C168">
        <v>84</v>
      </c>
      <c r="D168" t="s">
        <v>37</v>
      </c>
      <c r="E168" t="s">
        <v>69</v>
      </c>
      <c r="F168" t="s">
        <v>22</v>
      </c>
      <c r="G168" t="s">
        <v>80</v>
      </c>
      <c r="H168" s="1">
        <v>45547</v>
      </c>
      <c r="I168" s="1">
        <v>45559</v>
      </c>
      <c r="J168" t="s">
        <v>24</v>
      </c>
      <c r="K168">
        <v>15</v>
      </c>
      <c r="L168">
        <v>15442</v>
      </c>
      <c r="M168">
        <v>29554</v>
      </c>
      <c r="N168">
        <v>6384</v>
      </c>
      <c r="O168">
        <v>61865</v>
      </c>
      <c r="P168" t="s">
        <v>25</v>
      </c>
      <c r="Q168" t="s">
        <v>33</v>
      </c>
      <c r="R168" t="s">
        <v>70</v>
      </c>
    </row>
    <row r="169" spans="1:18" x14ac:dyDescent="0.25">
      <c r="A169" t="s">
        <v>386</v>
      </c>
      <c r="B169" t="s">
        <v>387</v>
      </c>
      <c r="C169">
        <v>30</v>
      </c>
      <c r="D169" t="s">
        <v>20</v>
      </c>
      <c r="E169" t="s">
        <v>54</v>
      </c>
      <c r="F169" t="s">
        <v>66</v>
      </c>
      <c r="G169" t="s">
        <v>23</v>
      </c>
      <c r="H169" s="1">
        <v>45298</v>
      </c>
      <c r="I169" s="1">
        <v>45560</v>
      </c>
      <c r="J169" t="s">
        <v>57</v>
      </c>
      <c r="K169">
        <v>19</v>
      </c>
      <c r="L169">
        <v>78788</v>
      </c>
      <c r="M169">
        <v>31908</v>
      </c>
      <c r="N169">
        <v>28290</v>
      </c>
      <c r="O169">
        <v>185758</v>
      </c>
      <c r="P169" t="s">
        <v>25</v>
      </c>
      <c r="Q169" t="s">
        <v>58</v>
      </c>
      <c r="R169" t="s">
        <v>70</v>
      </c>
    </row>
    <row r="170" spans="1:18" x14ac:dyDescent="0.25">
      <c r="A170" t="s">
        <v>388</v>
      </c>
      <c r="B170" t="s">
        <v>389</v>
      </c>
      <c r="C170">
        <v>62</v>
      </c>
      <c r="D170" t="s">
        <v>20</v>
      </c>
      <c r="E170" t="s">
        <v>30</v>
      </c>
      <c r="F170" t="s">
        <v>66</v>
      </c>
      <c r="G170" t="s">
        <v>80</v>
      </c>
      <c r="H170" s="1">
        <v>45446</v>
      </c>
      <c r="I170" s="1">
        <v>45366</v>
      </c>
      <c r="J170" t="s">
        <v>57</v>
      </c>
      <c r="K170">
        <v>9</v>
      </c>
      <c r="L170">
        <v>124729</v>
      </c>
      <c r="M170">
        <v>20610</v>
      </c>
      <c r="N170">
        <v>8685</v>
      </c>
      <c r="O170">
        <v>83910</v>
      </c>
      <c r="P170" t="s">
        <v>41</v>
      </c>
      <c r="Q170" t="s">
        <v>87</v>
      </c>
      <c r="R170" t="s">
        <v>27</v>
      </c>
    </row>
    <row r="171" spans="1:18" x14ac:dyDescent="0.25">
      <c r="A171" t="s">
        <v>390</v>
      </c>
      <c r="B171" t="s">
        <v>391</v>
      </c>
      <c r="C171">
        <v>75</v>
      </c>
      <c r="D171" t="s">
        <v>37</v>
      </c>
      <c r="E171" t="s">
        <v>21</v>
      </c>
      <c r="F171" t="s">
        <v>22</v>
      </c>
      <c r="G171" t="s">
        <v>39</v>
      </c>
      <c r="H171" s="1">
        <v>45383</v>
      </c>
      <c r="I171" s="1">
        <v>45300</v>
      </c>
      <c r="J171" t="s">
        <v>40</v>
      </c>
      <c r="K171">
        <v>11</v>
      </c>
      <c r="L171">
        <v>32586</v>
      </c>
      <c r="M171">
        <v>47646</v>
      </c>
      <c r="N171">
        <v>749</v>
      </c>
      <c r="O171">
        <v>143747</v>
      </c>
      <c r="P171" t="s">
        <v>63</v>
      </c>
      <c r="Q171" t="s">
        <v>26</v>
      </c>
      <c r="R171" t="s">
        <v>42</v>
      </c>
    </row>
    <row r="172" spans="1:18" x14ac:dyDescent="0.25">
      <c r="A172" t="s">
        <v>392</v>
      </c>
      <c r="B172" t="s">
        <v>393</v>
      </c>
      <c r="C172">
        <v>89</v>
      </c>
      <c r="D172" t="s">
        <v>37</v>
      </c>
      <c r="E172" t="s">
        <v>50</v>
      </c>
      <c r="F172" t="s">
        <v>75</v>
      </c>
      <c r="G172" t="s">
        <v>80</v>
      </c>
      <c r="H172" s="1">
        <v>45305</v>
      </c>
      <c r="I172" s="1">
        <v>45589</v>
      </c>
      <c r="J172" t="s">
        <v>40</v>
      </c>
      <c r="K172">
        <v>8</v>
      </c>
      <c r="L172">
        <v>58053</v>
      </c>
      <c r="M172">
        <v>40605</v>
      </c>
      <c r="N172">
        <v>19809</v>
      </c>
      <c r="O172">
        <v>205778</v>
      </c>
      <c r="P172" t="s">
        <v>51</v>
      </c>
      <c r="Q172" t="s">
        <v>58</v>
      </c>
      <c r="R172" t="s">
        <v>42</v>
      </c>
    </row>
    <row r="173" spans="1:18" x14ac:dyDescent="0.25">
      <c r="A173" t="s">
        <v>394</v>
      </c>
      <c r="B173" t="s">
        <v>395</v>
      </c>
      <c r="C173">
        <v>62</v>
      </c>
      <c r="D173" t="s">
        <v>20</v>
      </c>
      <c r="E173" t="s">
        <v>30</v>
      </c>
      <c r="F173" t="s">
        <v>66</v>
      </c>
      <c r="G173" t="s">
        <v>39</v>
      </c>
      <c r="H173" s="1">
        <v>45520</v>
      </c>
      <c r="I173" s="1">
        <v>45456</v>
      </c>
      <c r="J173" t="s">
        <v>40</v>
      </c>
      <c r="K173">
        <v>1</v>
      </c>
      <c r="L173">
        <v>186561</v>
      </c>
      <c r="M173">
        <v>8031</v>
      </c>
      <c r="N173">
        <v>21927</v>
      </c>
      <c r="O173">
        <v>246057</v>
      </c>
      <c r="P173" t="s">
        <v>41</v>
      </c>
      <c r="Q173" t="s">
        <v>58</v>
      </c>
      <c r="R173" t="s">
        <v>27</v>
      </c>
    </row>
    <row r="174" spans="1:18" x14ac:dyDescent="0.25">
      <c r="A174" t="s">
        <v>396</v>
      </c>
      <c r="B174" t="s">
        <v>397</v>
      </c>
      <c r="C174">
        <v>1</v>
      </c>
      <c r="D174" t="s">
        <v>37</v>
      </c>
      <c r="E174" t="s">
        <v>69</v>
      </c>
      <c r="F174" t="s">
        <v>66</v>
      </c>
      <c r="G174" t="s">
        <v>80</v>
      </c>
      <c r="H174" s="1">
        <v>45377</v>
      </c>
      <c r="I174" s="1">
        <v>45377</v>
      </c>
      <c r="J174" t="s">
        <v>32</v>
      </c>
      <c r="K174">
        <v>8</v>
      </c>
      <c r="L174">
        <v>91346</v>
      </c>
      <c r="M174">
        <v>48574</v>
      </c>
      <c r="N174">
        <v>17858</v>
      </c>
      <c r="O174">
        <v>248093</v>
      </c>
      <c r="P174" t="s">
        <v>25</v>
      </c>
      <c r="Q174" t="s">
        <v>87</v>
      </c>
      <c r="R174" t="s">
        <v>27</v>
      </c>
    </row>
    <row r="175" spans="1:18" x14ac:dyDescent="0.25">
      <c r="A175" t="s">
        <v>398</v>
      </c>
      <c r="B175" t="s">
        <v>399</v>
      </c>
      <c r="C175">
        <v>27</v>
      </c>
      <c r="D175" t="s">
        <v>37</v>
      </c>
      <c r="E175" t="s">
        <v>69</v>
      </c>
      <c r="F175" t="s">
        <v>66</v>
      </c>
      <c r="G175" t="s">
        <v>80</v>
      </c>
      <c r="H175" s="1">
        <v>45424</v>
      </c>
      <c r="I175" s="1">
        <v>45364</v>
      </c>
      <c r="J175" t="s">
        <v>57</v>
      </c>
      <c r="K175">
        <v>13</v>
      </c>
      <c r="L175">
        <v>72087</v>
      </c>
      <c r="M175">
        <v>26515</v>
      </c>
      <c r="N175">
        <v>26401</v>
      </c>
      <c r="O175">
        <v>85986</v>
      </c>
      <c r="P175" t="s">
        <v>25</v>
      </c>
      <c r="Q175" t="s">
        <v>58</v>
      </c>
      <c r="R175" t="s">
        <v>70</v>
      </c>
    </row>
    <row r="176" spans="1:18" x14ac:dyDescent="0.25">
      <c r="A176" t="s">
        <v>400</v>
      </c>
      <c r="B176" t="s">
        <v>401</v>
      </c>
      <c r="C176">
        <v>62</v>
      </c>
      <c r="D176" t="s">
        <v>20</v>
      </c>
      <c r="E176" t="s">
        <v>69</v>
      </c>
      <c r="F176" t="s">
        <v>31</v>
      </c>
      <c r="G176" t="s">
        <v>80</v>
      </c>
      <c r="H176" s="1">
        <v>45474</v>
      </c>
      <c r="I176" s="1">
        <v>45347</v>
      </c>
      <c r="J176" t="s">
        <v>24</v>
      </c>
      <c r="K176">
        <v>4</v>
      </c>
      <c r="L176">
        <v>148697</v>
      </c>
      <c r="M176">
        <v>37484</v>
      </c>
      <c r="N176">
        <v>24076</v>
      </c>
      <c r="O176">
        <v>215288</v>
      </c>
      <c r="P176" t="s">
        <v>25</v>
      </c>
      <c r="Q176" t="s">
        <v>47</v>
      </c>
      <c r="R176" t="s">
        <v>34</v>
      </c>
    </row>
    <row r="177" spans="1:18" x14ac:dyDescent="0.25">
      <c r="A177" t="s">
        <v>402</v>
      </c>
      <c r="B177" t="s">
        <v>403</v>
      </c>
      <c r="C177">
        <v>77</v>
      </c>
      <c r="D177" t="s">
        <v>37</v>
      </c>
      <c r="E177" t="s">
        <v>69</v>
      </c>
      <c r="F177" t="s">
        <v>31</v>
      </c>
      <c r="G177" t="s">
        <v>80</v>
      </c>
      <c r="H177" s="1">
        <v>45353</v>
      </c>
      <c r="I177" s="1">
        <v>45339</v>
      </c>
      <c r="J177" t="s">
        <v>40</v>
      </c>
      <c r="K177">
        <v>8</v>
      </c>
      <c r="L177">
        <v>39397</v>
      </c>
      <c r="M177">
        <v>37182</v>
      </c>
      <c r="N177">
        <v>9675</v>
      </c>
      <c r="O177">
        <v>18068</v>
      </c>
      <c r="P177" t="s">
        <v>63</v>
      </c>
      <c r="Q177" t="s">
        <v>87</v>
      </c>
      <c r="R177" t="s">
        <v>42</v>
      </c>
    </row>
    <row r="178" spans="1:18" x14ac:dyDescent="0.25">
      <c r="A178" t="s">
        <v>404</v>
      </c>
      <c r="B178" t="s">
        <v>405</v>
      </c>
      <c r="C178">
        <v>3</v>
      </c>
      <c r="D178" t="s">
        <v>20</v>
      </c>
      <c r="E178" t="s">
        <v>69</v>
      </c>
      <c r="F178" t="s">
        <v>38</v>
      </c>
      <c r="G178" t="s">
        <v>39</v>
      </c>
      <c r="H178" s="1">
        <v>45510</v>
      </c>
      <c r="I178" s="1">
        <v>45530</v>
      </c>
      <c r="J178" t="s">
        <v>24</v>
      </c>
      <c r="K178">
        <v>3</v>
      </c>
      <c r="L178">
        <v>63671</v>
      </c>
      <c r="M178">
        <v>1570</v>
      </c>
      <c r="N178">
        <v>25964</v>
      </c>
      <c r="O178">
        <v>62460</v>
      </c>
      <c r="P178" t="s">
        <v>25</v>
      </c>
      <c r="Q178" t="s">
        <v>47</v>
      </c>
      <c r="R178" t="s">
        <v>34</v>
      </c>
    </row>
    <row r="179" spans="1:18" x14ac:dyDescent="0.25">
      <c r="A179" t="s">
        <v>406</v>
      </c>
      <c r="B179" t="s">
        <v>407</v>
      </c>
      <c r="C179">
        <v>70</v>
      </c>
      <c r="D179" t="s">
        <v>37</v>
      </c>
      <c r="E179" t="s">
        <v>54</v>
      </c>
      <c r="F179" t="s">
        <v>46</v>
      </c>
      <c r="G179" t="s">
        <v>39</v>
      </c>
      <c r="H179" s="1">
        <v>45537</v>
      </c>
      <c r="I179" s="1">
        <v>45396</v>
      </c>
      <c r="J179" t="s">
        <v>24</v>
      </c>
      <c r="K179">
        <v>9</v>
      </c>
      <c r="L179">
        <v>121214</v>
      </c>
      <c r="M179">
        <v>33254</v>
      </c>
      <c r="N179">
        <v>28013</v>
      </c>
      <c r="O179">
        <v>108766</v>
      </c>
      <c r="P179" t="s">
        <v>41</v>
      </c>
      <c r="Q179" t="s">
        <v>87</v>
      </c>
      <c r="R179" t="s">
        <v>34</v>
      </c>
    </row>
    <row r="180" spans="1:18" x14ac:dyDescent="0.25">
      <c r="A180" t="s">
        <v>408</v>
      </c>
      <c r="B180" t="s">
        <v>409</v>
      </c>
      <c r="C180">
        <v>72</v>
      </c>
      <c r="D180" t="s">
        <v>20</v>
      </c>
      <c r="E180" t="s">
        <v>30</v>
      </c>
      <c r="F180" t="s">
        <v>22</v>
      </c>
      <c r="G180" t="s">
        <v>23</v>
      </c>
      <c r="H180" s="1">
        <v>45521</v>
      </c>
      <c r="I180" s="1">
        <v>45502</v>
      </c>
      <c r="J180" t="s">
        <v>40</v>
      </c>
      <c r="K180">
        <v>2</v>
      </c>
      <c r="L180">
        <v>71897</v>
      </c>
      <c r="M180">
        <v>20288</v>
      </c>
      <c r="N180">
        <v>16760</v>
      </c>
      <c r="O180">
        <v>54418</v>
      </c>
      <c r="P180" t="s">
        <v>41</v>
      </c>
      <c r="Q180" t="s">
        <v>58</v>
      </c>
      <c r="R180" t="s">
        <v>27</v>
      </c>
    </row>
    <row r="181" spans="1:18" x14ac:dyDescent="0.25">
      <c r="A181" t="s">
        <v>410</v>
      </c>
      <c r="B181" t="s">
        <v>411</v>
      </c>
      <c r="C181">
        <v>27</v>
      </c>
      <c r="D181" t="s">
        <v>20</v>
      </c>
      <c r="E181" t="s">
        <v>50</v>
      </c>
      <c r="F181" t="s">
        <v>22</v>
      </c>
      <c r="G181" t="s">
        <v>39</v>
      </c>
      <c r="H181" s="1">
        <v>45370</v>
      </c>
      <c r="I181" s="1">
        <v>45334</v>
      </c>
      <c r="J181" t="s">
        <v>57</v>
      </c>
      <c r="K181">
        <v>2</v>
      </c>
      <c r="L181">
        <v>162221</v>
      </c>
      <c r="M181">
        <v>14288</v>
      </c>
      <c r="N181">
        <v>27193</v>
      </c>
      <c r="O181">
        <v>34206</v>
      </c>
      <c r="P181" t="s">
        <v>25</v>
      </c>
      <c r="Q181" t="s">
        <v>47</v>
      </c>
      <c r="R181" t="s">
        <v>34</v>
      </c>
    </row>
    <row r="182" spans="1:18" x14ac:dyDescent="0.25">
      <c r="A182" t="s">
        <v>412</v>
      </c>
      <c r="B182" t="s">
        <v>413</v>
      </c>
      <c r="C182">
        <v>9</v>
      </c>
      <c r="D182" t="s">
        <v>20</v>
      </c>
      <c r="E182" t="s">
        <v>21</v>
      </c>
      <c r="F182" t="s">
        <v>22</v>
      </c>
      <c r="G182" t="s">
        <v>80</v>
      </c>
      <c r="H182" s="1">
        <v>45440</v>
      </c>
      <c r="I182" s="1">
        <v>45608</v>
      </c>
      <c r="J182" t="s">
        <v>40</v>
      </c>
      <c r="K182">
        <v>13</v>
      </c>
      <c r="L182">
        <v>196102</v>
      </c>
      <c r="M182">
        <v>30877</v>
      </c>
      <c r="N182">
        <v>3172</v>
      </c>
      <c r="O182">
        <v>136180</v>
      </c>
      <c r="P182" t="s">
        <v>41</v>
      </c>
      <c r="Q182" t="s">
        <v>58</v>
      </c>
      <c r="R182" t="s">
        <v>70</v>
      </c>
    </row>
    <row r="183" spans="1:18" x14ac:dyDescent="0.25">
      <c r="A183" t="s">
        <v>414</v>
      </c>
      <c r="B183" t="s">
        <v>415</v>
      </c>
      <c r="C183">
        <v>62</v>
      </c>
      <c r="D183" t="s">
        <v>37</v>
      </c>
      <c r="E183" t="s">
        <v>21</v>
      </c>
      <c r="F183" t="s">
        <v>38</v>
      </c>
      <c r="G183" t="s">
        <v>23</v>
      </c>
      <c r="H183" s="1">
        <v>45429</v>
      </c>
      <c r="I183" s="1">
        <v>45560</v>
      </c>
      <c r="J183" t="s">
        <v>24</v>
      </c>
      <c r="K183">
        <v>15</v>
      </c>
      <c r="L183">
        <v>141355</v>
      </c>
      <c r="M183">
        <v>19889</v>
      </c>
      <c r="N183">
        <v>7779</v>
      </c>
      <c r="O183">
        <v>8287</v>
      </c>
      <c r="P183" t="s">
        <v>25</v>
      </c>
      <c r="Q183" t="s">
        <v>87</v>
      </c>
      <c r="R183" t="s">
        <v>27</v>
      </c>
    </row>
    <row r="184" spans="1:18" x14ac:dyDescent="0.25">
      <c r="A184" t="s">
        <v>416</v>
      </c>
      <c r="B184" t="s">
        <v>417</v>
      </c>
      <c r="C184">
        <v>37</v>
      </c>
      <c r="D184" t="s">
        <v>20</v>
      </c>
      <c r="E184" t="s">
        <v>30</v>
      </c>
      <c r="F184" t="s">
        <v>31</v>
      </c>
      <c r="G184" t="s">
        <v>23</v>
      </c>
      <c r="H184" s="1">
        <v>45605</v>
      </c>
      <c r="I184" s="1">
        <v>45555</v>
      </c>
      <c r="J184" t="s">
        <v>40</v>
      </c>
      <c r="K184">
        <v>12</v>
      </c>
      <c r="L184">
        <v>143682</v>
      </c>
      <c r="M184">
        <v>1917</v>
      </c>
      <c r="N184">
        <v>24415</v>
      </c>
      <c r="O184">
        <v>30337</v>
      </c>
      <c r="P184" t="s">
        <v>25</v>
      </c>
      <c r="Q184" t="s">
        <v>58</v>
      </c>
      <c r="R184" t="s">
        <v>34</v>
      </c>
    </row>
    <row r="185" spans="1:18" x14ac:dyDescent="0.25">
      <c r="A185" t="s">
        <v>418</v>
      </c>
      <c r="B185" t="s">
        <v>419</v>
      </c>
      <c r="C185">
        <v>51</v>
      </c>
      <c r="D185" t="s">
        <v>37</v>
      </c>
      <c r="E185" t="s">
        <v>30</v>
      </c>
      <c r="F185" t="s">
        <v>75</v>
      </c>
      <c r="G185" t="s">
        <v>23</v>
      </c>
      <c r="H185" s="1">
        <v>45356</v>
      </c>
      <c r="I185" s="1">
        <v>45628</v>
      </c>
      <c r="J185" t="s">
        <v>24</v>
      </c>
      <c r="K185">
        <v>4</v>
      </c>
      <c r="L185">
        <v>179398</v>
      </c>
      <c r="M185">
        <v>11066</v>
      </c>
      <c r="N185">
        <v>26402</v>
      </c>
      <c r="O185">
        <v>159738</v>
      </c>
      <c r="P185" t="s">
        <v>51</v>
      </c>
      <c r="Q185" t="s">
        <v>47</v>
      </c>
      <c r="R185" t="s">
        <v>27</v>
      </c>
    </row>
    <row r="186" spans="1:18" x14ac:dyDescent="0.25">
      <c r="A186" t="s">
        <v>420</v>
      </c>
      <c r="B186" t="s">
        <v>421</v>
      </c>
      <c r="C186">
        <v>44</v>
      </c>
      <c r="D186" t="s">
        <v>37</v>
      </c>
      <c r="E186" t="s">
        <v>21</v>
      </c>
      <c r="F186" t="s">
        <v>75</v>
      </c>
      <c r="G186" t="s">
        <v>80</v>
      </c>
      <c r="H186" s="1">
        <v>45304</v>
      </c>
      <c r="I186" s="1">
        <v>45657</v>
      </c>
      <c r="J186" t="s">
        <v>24</v>
      </c>
      <c r="K186">
        <v>8</v>
      </c>
      <c r="L186">
        <v>19924</v>
      </c>
      <c r="M186">
        <v>30504</v>
      </c>
      <c r="N186">
        <v>9162</v>
      </c>
      <c r="O186">
        <v>140233</v>
      </c>
      <c r="P186" t="s">
        <v>63</v>
      </c>
      <c r="Q186" t="s">
        <v>47</v>
      </c>
      <c r="R186" t="s">
        <v>70</v>
      </c>
    </row>
    <row r="187" spans="1:18" x14ac:dyDescent="0.25">
      <c r="A187" t="s">
        <v>422</v>
      </c>
      <c r="B187" t="s">
        <v>423</v>
      </c>
      <c r="C187">
        <v>24</v>
      </c>
      <c r="D187" t="s">
        <v>37</v>
      </c>
      <c r="E187" t="s">
        <v>21</v>
      </c>
      <c r="F187" t="s">
        <v>38</v>
      </c>
      <c r="G187" t="s">
        <v>39</v>
      </c>
      <c r="H187" s="1">
        <v>45504</v>
      </c>
      <c r="I187" s="1">
        <v>45551</v>
      </c>
      <c r="J187" t="s">
        <v>40</v>
      </c>
      <c r="K187">
        <v>9</v>
      </c>
      <c r="L187">
        <v>118143</v>
      </c>
      <c r="M187">
        <v>7982</v>
      </c>
      <c r="N187">
        <v>2487</v>
      </c>
      <c r="O187">
        <v>108667</v>
      </c>
      <c r="P187" t="s">
        <v>63</v>
      </c>
      <c r="Q187" t="s">
        <v>58</v>
      </c>
      <c r="R187" t="s">
        <v>70</v>
      </c>
    </row>
    <row r="188" spans="1:18" x14ac:dyDescent="0.25">
      <c r="A188" t="s">
        <v>424</v>
      </c>
      <c r="B188" t="s">
        <v>425</v>
      </c>
      <c r="C188">
        <v>79</v>
      </c>
      <c r="D188" t="s">
        <v>37</v>
      </c>
      <c r="E188" t="s">
        <v>54</v>
      </c>
      <c r="F188" t="s">
        <v>75</v>
      </c>
      <c r="G188" t="s">
        <v>80</v>
      </c>
      <c r="H188" s="1">
        <v>45533</v>
      </c>
      <c r="I188" s="1">
        <v>45575</v>
      </c>
      <c r="J188" t="s">
        <v>32</v>
      </c>
      <c r="K188">
        <v>5</v>
      </c>
      <c r="L188">
        <v>115253</v>
      </c>
      <c r="M188">
        <v>40104</v>
      </c>
      <c r="N188">
        <v>16974</v>
      </c>
      <c r="O188">
        <v>98071</v>
      </c>
      <c r="P188" t="s">
        <v>51</v>
      </c>
      <c r="Q188" t="s">
        <v>33</v>
      </c>
      <c r="R188" t="s">
        <v>34</v>
      </c>
    </row>
    <row r="189" spans="1:18" x14ac:dyDescent="0.25">
      <c r="A189" t="s">
        <v>426</v>
      </c>
      <c r="B189" t="s">
        <v>427</v>
      </c>
      <c r="C189">
        <v>59</v>
      </c>
      <c r="D189" t="s">
        <v>20</v>
      </c>
      <c r="E189" t="s">
        <v>45</v>
      </c>
      <c r="F189" t="s">
        <v>22</v>
      </c>
      <c r="G189" t="s">
        <v>23</v>
      </c>
      <c r="H189" s="1">
        <v>45504</v>
      </c>
      <c r="I189" s="1">
        <v>45406</v>
      </c>
      <c r="J189" t="s">
        <v>40</v>
      </c>
      <c r="K189">
        <v>18</v>
      </c>
      <c r="L189">
        <v>105297</v>
      </c>
      <c r="M189">
        <v>19062</v>
      </c>
      <c r="N189">
        <v>25605</v>
      </c>
      <c r="O189">
        <v>106064</v>
      </c>
      <c r="P189" t="s">
        <v>51</v>
      </c>
      <c r="Q189" t="s">
        <v>87</v>
      </c>
      <c r="R189" t="s">
        <v>27</v>
      </c>
    </row>
    <row r="190" spans="1:18" x14ac:dyDescent="0.25">
      <c r="A190" t="s">
        <v>428</v>
      </c>
      <c r="B190" t="s">
        <v>429</v>
      </c>
      <c r="C190">
        <v>32</v>
      </c>
      <c r="D190" t="s">
        <v>20</v>
      </c>
      <c r="E190" t="s">
        <v>50</v>
      </c>
      <c r="F190" t="s">
        <v>46</v>
      </c>
      <c r="G190" t="s">
        <v>80</v>
      </c>
      <c r="H190" s="1">
        <v>45472</v>
      </c>
      <c r="I190" s="1">
        <v>45655</v>
      </c>
      <c r="J190" t="s">
        <v>32</v>
      </c>
      <c r="K190">
        <v>11</v>
      </c>
      <c r="L190">
        <v>5869</v>
      </c>
      <c r="M190">
        <v>17999</v>
      </c>
      <c r="N190">
        <v>13448</v>
      </c>
      <c r="O190">
        <v>177823</v>
      </c>
      <c r="P190" t="s">
        <v>63</v>
      </c>
      <c r="Q190" t="s">
        <v>87</v>
      </c>
      <c r="R190" t="s">
        <v>34</v>
      </c>
    </row>
    <row r="191" spans="1:18" x14ac:dyDescent="0.25">
      <c r="A191" t="s">
        <v>430</v>
      </c>
      <c r="B191" t="s">
        <v>431</v>
      </c>
      <c r="C191">
        <v>88</v>
      </c>
      <c r="D191" t="s">
        <v>37</v>
      </c>
      <c r="E191" t="s">
        <v>69</v>
      </c>
      <c r="F191" t="s">
        <v>66</v>
      </c>
      <c r="G191" t="s">
        <v>80</v>
      </c>
      <c r="H191" s="1">
        <v>45629</v>
      </c>
      <c r="I191" s="1">
        <v>45332</v>
      </c>
      <c r="J191" t="s">
        <v>24</v>
      </c>
      <c r="K191">
        <v>15</v>
      </c>
      <c r="L191">
        <v>102088</v>
      </c>
      <c r="M191">
        <v>10941</v>
      </c>
      <c r="N191">
        <v>20943</v>
      </c>
      <c r="O191">
        <v>221135</v>
      </c>
      <c r="P191" t="s">
        <v>25</v>
      </c>
      <c r="Q191" t="s">
        <v>58</v>
      </c>
      <c r="R191" t="s">
        <v>34</v>
      </c>
    </row>
    <row r="192" spans="1:18" x14ac:dyDescent="0.25">
      <c r="A192" t="s">
        <v>432</v>
      </c>
      <c r="B192" t="s">
        <v>433</v>
      </c>
      <c r="C192">
        <v>52</v>
      </c>
      <c r="D192" t="s">
        <v>37</v>
      </c>
      <c r="E192" t="s">
        <v>45</v>
      </c>
      <c r="F192" t="s">
        <v>31</v>
      </c>
      <c r="G192" t="s">
        <v>39</v>
      </c>
      <c r="H192" s="1">
        <v>45464</v>
      </c>
      <c r="I192" s="1">
        <v>45512</v>
      </c>
      <c r="J192" t="s">
        <v>24</v>
      </c>
      <c r="K192">
        <v>9</v>
      </c>
      <c r="L192">
        <v>6014</v>
      </c>
      <c r="M192">
        <v>24470</v>
      </c>
      <c r="N192">
        <v>13526</v>
      </c>
      <c r="O192">
        <v>114511</v>
      </c>
      <c r="P192" t="s">
        <v>25</v>
      </c>
      <c r="Q192" t="s">
        <v>33</v>
      </c>
      <c r="R192" t="s">
        <v>27</v>
      </c>
    </row>
    <row r="193" spans="1:18" x14ac:dyDescent="0.25">
      <c r="A193" t="s">
        <v>434</v>
      </c>
      <c r="B193" t="s">
        <v>435</v>
      </c>
      <c r="C193">
        <v>62</v>
      </c>
      <c r="D193" t="s">
        <v>20</v>
      </c>
      <c r="E193" t="s">
        <v>30</v>
      </c>
      <c r="F193" t="s">
        <v>31</v>
      </c>
      <c r="G193" t="s">
        <v>39</v>
      </c>
      <c r="H193" s="1">
        <v>45451</v>
      </c>
      <c r="I193" s="1">
        <v>45421</v>
      </c>
      <c r="J193" t="s">
        <v>32</v>
      </c>
      <c r="K193">
        <v>17</v>
      </c>
      <c r="L193">
        <v>15103</v>
      </c>
      <c r="M193">
        <v>46148</v>
      </c>
      <c r="N193">
        <v>3273</v>
      </c>
      <c r="O193">
        <v>228461</v>
      </c>
      <c r="P193" t="s">
        <v>63</v>
      </c>
      <c r="Q193" t="s">
        <v>47</v>
      </c>
      <c r="R193" t="s">
        <v>34</v>
      </c>
    </row>
    <row r="194" spans="1:18" x14ac:dyDescent="0.25">
      <c r="A194" t="s">
        <v>436</v>
      </c>
      <c r="B194" t="s">
        <v>437</v>
      </c>
      <c r="C194">
        <v>58</v>
      </c>
      <c r="D194" t="s">
        <v>37</v>
      </c>
      <c r="E194" t="s">
        <v>21</v>
      </c>
      <c r="F194" t="s">
        <v>38</v>
      </c>
      <c r="G194" t="s">
        <v>23</v>
      </c>
      <c r="H194" s="1">
        <v>45455</v>
      </c>
      <c r="I194" s="1">
        <v>45300</v>
      </c>
      <c r="J194" t="s">
        <v>24</v>
      </c>
      <c r="K194">
        <v>12</v>
      </c>
      <c r="L194">
        <v>115317</v>
      </c>
      <c r="M194">
        <v>22133</v>
      </c>
      <c r="N194">
        <v>13659</v>
      </c>
      <c r="O194">
        <v>153830</v>
      </c>
      <c r="P194" t="s">
        <v>25</v>
      </c>
      <c r="Q194" t="s">
        <v>26</v>
      </c>
      <c r="R194" t="s">
        <v>70</v>
      </c>
    </row>
    <row r="195" spans="1:18" x14ac:dyDescent="0.25">
      <c r="A195" t="s">
        <v>438</v>
      </c>
      <c r="B195" t="s">
        <v>439</v>
      </c>
      <c r="C195">
        <v>52</v>
      </c>
      <c r="D195" t="s">
        <v>20</v>
      </c>
      <c r="E195" t="s">
        <v>45</v>
      </c>
      <c r="F195" t="s">
        <v>31</v>
      </c>
      <c r="G195" t="s">
        <v>80</v>
      </c>
      <c r="H195" s="1">
        <v>45479</v>
      </c>
      <c r="I195" s="1">
        <v>45393</v>
      </c>
      <c r="J195" t="s">
        <v>32</v>
      </c>
      <c r="K195">
        <v>7</v>
      </c>
      <c r="L195">
        <v>169530</v>
      </c>
      <c r="M195">
        <v>45435</v>
      </c>
      <c r="N195">
        <v>10378</v>
      </c>
      <c r="O195">
        <v>204852</v>
      </c>
      <c r="P195" t="s">
        <v>51</v>
      </c>
      <c r="Q195" t="s">
        <v>26</v>
      </c>
      <c r="R195" t="s">
        <v>27</v>
      </c>
    </row>
    <row r="196" spans="1:18" x14ac:dyDescent="0.25">
      <c r="A196" t="s">
        <v>440</v>
      </c>
      <c r="B196" t="s">
        <v>441</v>
      </c>
      <c r="C196">
        <v>12</v>
      </c>
      <c r="D196" t="s">
        <v>37</v>
      </c>
      <c r="E196" t="s">
        <v>50</v>
      </c>
      <c r="F196" t="s">
        <v>22</v>
      </c>
      <c r="G196" t="s">
        <v>80</v>
      </c>
      <c r="H196" s="1">
        <v>45482</v>
      </c>
      <c r="I196" s="1">
        <v>45468</v>
      </c>
      <c r="J196" t="s">
        <v>32</v>
      </c>
      <c r="K196">
        <v>10</v>
      </c>
      <c r="L196">
        <v>87409</v>
      </c>
      <c r="M196">
        <v>5529</v>
      </c>
      <c r="N196">
        <v>25267</v>
      </c>
      <c r="O196">
        <v>11178</v>
      </c>
      <c r="P196" t="s">
        <v>25</v>
      </c>
      <c r="Q196" t="s">
        <v>58</v>
      </c>
      <c r="R196" t="s">
        <v>27</v>
      </c>
    </row>
    <row r="197" spans="1:18" x14ac:dyDescent="0.25">
      <c r="A197" t="s">
        <v>442</v>
      </c>
      <c r="B197" t="s">
        <v>443</v>
      </c>
      <c r="C197">
        <v>39</v>
      </c>
      <c r="D197" t="s">
        <v>37</v>
      </c>
      <c r="E197" t="s">
        <v>30</v>
      </c>
      <c r="F197" t="s">
        <v>75</v>
      </c>
      <c r="G197" t="s">
        <v>39</v>
      </c>
      <c r="H197" s="1">
        <v>45599</v>
      </c>
      <c r="I197" s="1">
        <v>45399</v>
      </c>
      <c r="J197" t="s">
        <v>24</v>
      </c>
      <c r="K197">
        <v>10</v>
      </c>
      <c r="L197">
        <v>28248</v>
      </c>
      <c r="M197">
        <v>18519</v>
      </c>
      <c r="N197">
        <v>10678</v>
      </c>
      <c r="O197">
        <v>39831</v>
      </c>
      <c r="P197" t="s">
        <v>25</v>
      </c>
      <c r="Q197" t="s">
        <v>33</v>
      </c>
      <c r="R197" t="s">
        <v>27</v>
      </c>
    </row>
    <row r="198" spans="1:18" x14ac:dyDescent="0.25">
      <c r="A198" t="s">
        <v>444</v>
      </c>
      <c r="B198" t="s">
        <v>445</v>
      </c>
      <c r="C198">
        <v>2</v>
      </c>
      <c r="D198" t="s">
        <v>20</v>
      </c>
      <c r="E198" t="s">
        <v>69</v>
      </c>
      <c r="F198" t="s">
        <v>22</v>
      </c>
      <c r="G198" t="s">
        <v>80</v>
      </c>
      <c r="H198" s="1">
        <v>45547</v>
      </c>
      <c r="I198" s="1">
        <v>45393</v>
      </c>
      <c r="J198" t="s">
        <v>57</v>
      </c>
      <c r="K198">
        <v>13</v>
      </c>
      <c r="L198">
        <v>179588</v>
      </c>
      <c r="M198">
        <v>13192</v>
      </c>
      <c r="N198">
        <v>28699</v>
      </c>
      <c r="O198">
        <v>141248</v>
      </c>
      <c r="P198" t="s">
        <v>41</v>
      </c>
      <c r="Q198" t="s">
        <v>33</v>
      </c>
      <c r="R198" t="s">
        <v>27</v>
      </c>
    </row>
    <row r="199" spans="1:18" x14ac:dyDescent="0.25">
      <c r="A199" t="s">
        <v>446</v>
      </c>
      <c r="B199" t="s">
        <v>447</v>
      </c>
      <c r="C199">
        <v>3</v>
      </c>
      <c r="D199" t="s">
        <v>37</v>
      </c>
      <c r="E199" t="s">
        <v>69</v>
      </c>
      <c r="F199" t="s">
        <v>38</v>
      </c>
      <c r="G199" t="s">
        <v>80</v>
      </c>
      <c r="H199" s="1">
        <v>45474</v>
      </c>
      <c r="I199" s="1">
        <v>45552</v>
      </c>
      <c r="J199" t="s">
        <v>32</v>
      </c>
      <c r="K199">
        <v>19</v>
      </c>
      <c r="L199">
        <v>165133</v>
      </c>
      <c r="M199">
        <v>9566</v>
      </c>
      <c r="N199">
        <v>24293</v>
      </c>
      <c r="O199">
        <v>111306</v>
      </c>
      <c r="P199" t="s">
        <v>41</v>
      </c>
      <c r="Q199" t="s">
        <v>87</v>
      </c>
      <c r="R199" t="s">
        <v>34</v>
      </c>
    </row>
    <row r="200" spans="1:18" x14ac:dyDescent="0.25">
      <c r="A200" t="s">
        <v>448</v>
      </c>
      <c r="B200" t="s">
        <v>449</v>
      </c>
      <c r="C200">
        <v>56</v>
      </c>
      <c r="D200" t="s">
        <v>20</v>
      </c>
      <c r="E200" t="s">
        <v>50</v>
      </c>
      <c r="F200" t="s">
        <v>22</v>
      </c>
      <c r="G200" t="s">
        <v>80</v>
      </c>
      <c r="H200" s="1">
        <v>45408</v>
      </c>
      <c r="I200" s="1">
        <v>45658</v>
      </c>
      <c r="J200" t="s">
        <v>40</v>
      </c>
      <c r="K200">
        <v>11</v>
      </c>
      <c r="L200">
        <v>160242</v>
      </c>
      <c r="M200">
        <v>8226</v>
      </c>
      <c r="N200">
        <v>10877</v>
      </c>
      <c r="O200">
        <v>172726</v>
      </c>
      <c r="P200" t="s">
        <v>41</v>
      </c>
      <c r="Q200" t="s">
        <v>47</v>
      </c>
      <c r="R200" t="s">
        <v>34</v>
      </c>
    </row>
    <row r="201" spans="1:18" x14ac:dyDescent="0.25">
      <c r="A201" t="s">
        <v>450</v>
      </c>
      <c r="B201" t="s">
        <v>451</v>
      </c>
      <c r="C201">
        <v>81</v>
      </c>
      <c r="D201" t="s">
        <v>37</v>
      </c>
      <c r="E201" t="s">
        <v>50</v>
      </c>
      <c r="F201" t="s">
        <v>75</v>
      </c>
      <c r="G201" t="s">
        <v>39</v>
      </c>
      <c r="H201" s="1">
        <v>45573</v>
      </c>
      <c r="I201" s="1">
        <v>45538</v>
      </c>
      <c r="J201" t="s">
        <v>40</v>
      </c>
      <c r="K201">
        <v>13</v>
      </c>
      <c r="L201">
        <v>13024</v>
      </c>
      <c r="M201">
        <v>38930</v>
      </c>
      <c r="N201">
        <v>21324</v>
      </c>
      <c r="O201">
        <v>165699</v>
      </c>
      <c r="P201" t="s">
        <v>25</v>
      </c>
      <c r="Q201" t="s">
        <v>33</v>
      </c>
      <c r="R201" t="s">
        <v>70</v>
      </c>
    </row>
    <row r="202" spans="1:18" x14ac:dyDescent="0.25">
      <c r="A202" t="s">
        <v>452</v>
      </c>
      <c r="B202" t="s">
        <v>453</v>
      </c>
      <c r="C202">
        <v>59</v>
      </c>
      <c r="D202" t="s">
        <v>37</v>
      </c>
      <c r="E202" t="s">
        <v>21</v>
      </c>
      <c r="F202" t="s">
        <v>46</v>
      </c>
      <c r="G202" t="s">
        <v>23</v>
      </c>
      <c r="H202" s="1">
        <v>45487</v>
      </c>
      <c r="I202" s="1">
        <v>45567</v>
      </c>
      <c r="J202" t="s">
        <v>24</v>
      </c>
      <c r="K202">
        <v>8</v>
      </c>
      <c r="L202">
        <v>90947</v>
      </c>
      <c r="M202">
        <v>22259</v>
      </c>
      <c r="N202">
        <v>7847</v>
      </c>
      <c r="O202">
        <v>191622</v>
      </c>
      <c r="P202" t="s">
        <v>63</v>
      </c>
      <c r="Q202" t="s">
        <v>26</v>
      </c>
      <c r="R202" t="s">
        <v>42</v>
      </c>
    </row>
    <row r="203" spans="1:18" x14ac:dyDescent="0.25">
      <c r="A203" t="s">
        <v>454</v>
      </c>
      <c r="B203" t="s">
        <v>455</v>
      </c>
      <c r="C203">
        <v>2</v>
      </c>
      <c r="D203" t="s">
        <v>37</v>
      </c>
      <c r="E203" t="s">
        <v>69</v>
      </c>
      <c r="F203" t="s">
        <v>38</v>
      </c>
      <c r="G203" t="s">
        <v>23</v>
      </c>
      <c r="H203" s="1">
        <v>45325</v>
      </c>
      <c r="I203" s="1">
        <v>45324</v>
      </c>
      <c r="J203" t="s">
        <v>57</v>
      </c>
      <c r="K203">
        <v>8</v>
      </c>
      <c r="L203">
        <v>179875</v>
      </c>
      <c r="M203">
        <v>35087</v>
      </c>
      <c r="N203">
        <v>1508</v>
      </c>
      <c r="O203">
        <v>120025</v>
      </c>
      <c r="P203" t="s">
        <v>51</v>
      </c>
      <c r="Q203" t="s">
        <v>47</v>
      </c>
      <c r="R203" t="s">
        <v>42</v>
      </c>
    </row>
    <row r="204" spans="1:18" x14ac:dyDescent="0.25">
      <c r="A204" t="s">
        <v>456</v>
      </c>
      <c r="B204" t="s">
        <v>457</v>
      </c>
      <c r="C204">
        <v>2</v>
      </c>
      <c r="D204" t="s">
        <v>20</v>
      </c>
      <c r="E204" t="s">
        <v>30</v>
      </c>
      <c r="F204" t="s">
        <v>46</v>
      </c>
      <c r="G204" t="s">
        <v>80</v>
      </c>
      <c r="H204" s="1">
        <v>45343</v>
      </c>
      <c r="I204" s="1">
        <v>45429</v>
      </c>
      <c r="J204" t="s">
        <v>24</v>
      </c>
      <c r="K204">
        <v>4</v>
      </c>
      <c r="L204">
        <v>155368</v>
      </c>
      <c r="M204">
        <v>2141</v>
      </c>
      <c r="N204">
        <v>4283</v>
      </c>
      <c r="O204">
        <v>183982</v>
      </c>
      <c r="P204" t="s">
        <v>25</v>
      </c>
      <c r="Q204" t="s">
        <v>47</v>
      </c>
      <c r="R204" t="s">
        <v>70</v>
      </c>
    </row>
    <row r="205" spans="1:18" x14ac:dyDescent="0.25">
      <c r="A205" t="s">
        <v>458</v>
      </c>
      <c r="B205" t="s">
        <v>459</v>
      </c>
      <c r="C205">
        <v>54</v>
      </c>
      <c r="D205" t="s">
        <v>37</v>
      </c>
      <c r="E205" t="s">
        <v>45</v>
      </c>
      <c r="F205" t="s">
        <v>66</v>
      </c>
      <c r="G205" t="s">
        <v>23</v>
      </c>
      <c r="H205" s="1">
        <v>45403</v>
      </c>
      <c r="I205" s="1">
        <v>45304</v>
      </c>
      <c r="J205" t="s">
        <v>57</v>
      </c>
      <c r="K205">
        <v>15</v>
      </c>
      <c r="L205">
        <v>96829</v>
      </c>
      <c r="M205">
        <v>5627</v>
      </c>
      <c r="N205">
        <v>23530</v>
      </c>
      <c r="O205">
        <v>98417</v>
      </c>
      <c r="P205" t="s">
        <v>63</v>
      </c>
      <c r="Q205" t="s">
        <v>58</v>
      </c>
      <c r="R205" t="s">
        <v>42</v>
      </c>
    </row>
    <row r="206" spans="1:18" x14ac:dyDescent="0.25">
      <c r="A206" t="s">
        <v>460</v>
      </c>
      <c r="B206" t="s">
        <v>461</v>
      </c>
      <c r="C206">
        <v>87</v>
      </c>
      <c r="D206" t="s">
        <v>37</v>
      </c>
      <c r="E206" t="s">
        <v>30</v>
      </c>
      <c r="F206" t="s">
        <v>46</v>
      </c>
      <c r="G206" t="s">
        <v>39</v>
      </c>
      <c r="H206" s="1">
        <v>45543</v>
      </c>
      <c r="I206" s="1">
        <v>45594</v>
      </c>
      <c r="J206" t="s">
        <v>32</v>
      </c>
      <c r="K206">
        <v>11</v>
      </c>
      <c r="L206">
        <v>97708</v>
      </c>
      <c r="M206">
        <v>48269</v>
      </c>
      <c r="N206">
        <v>4798</v>
      </c>
      <c r="O206">
        <v>197323</v>
      </c>
      <c r="P206" t="s">
        <v>25</v>
      </c>
      <c r="Q206" t="s">
        <v>33</v>
      </c>
      <c r="R206" t="s">
        <v>70</v>
      </c>
    </row>
    <row r="207" spans="1:18" x14ac:dyDescent="0.25">
      <c r="A207" t="s">
        <v>462</v>
      </c>
      <c r="B207" t="s">
        <v>463</v>
      </c>
      <c r="C207">
        <v>1</v>
      </c>
      <c r="D207" t="s">
        <v>37</v>
      </c>
      <c r="E207" t="s">
        <v>54</v>
      </c>
      <c r="F207" t="s">
        <v>66</v>
      </c>
      <c r="G207" t="s">
        <v>39</v>
      </c>
      <c r="H207" s="1">
        <v>45373</v>
      </c>
      <c r="I207" s="1">
        <v>45308</v>
      </c>
      <c r="J207" t="s">
        <v>32</v>
      </c>
      <c r="K207">
        <v>11</v>
      </c>
      <c r="L207">
        <v>91664</v>
      </c>
      <c r="M207">
        <v>3690</v>
      </c>
      <c r="N207">
        <v>5168</v>
      </c>
      <c r="O207">
        <v>174494</v>
      </c>
      <c r="P207" t="s">
        <v>51</v>
      </c>
      <c r="Q207" t="s">
        <v>58</v>
      </c>
      <c r="R207" t="s">
        <v>34</v>
      </c>
    </row>
    <row r="208" spans="1:18" x14ac:dyDescent="0.25">
      <c r="A208" t="s">
        <v>464</v>
      </c>
      <c r="B208" t="s">
        <v>465</v>
      </c>
      <c r="C208">
        <v>19</v>
      </c>
      <c r="D208" t="s">
        <v>37</v>
      </c>
      <c r="E208" t="s">
        <v>54</v>
      </c>
      <c r="F208" t="s">
        <v>66</v>
      </c>
      <c r="G208" t="s">
        <v>23</v>
      </c>
      <c r="H208" s="1">
        <v>45523</v>
      </c>
      <c r="I208" s="1">
        <v>45421</v>
      </c>
      <c r="J208" t="s">
        <v>32</v>
      </c>
      <c r="K208">
        <v>1</v>
      </c>
      <c r="L208">
        <v>154329</v>
      </c>
      <c r="M208">
        <v>41091</v>
      </c>
      <c r="N208">
        <v>21171</v>
      </c>
      <c r="O208">
        <v>19984</v>
      </c>
      <c r="P208" t="s">
        <v>25</v>
      </c>
      <c r="Q208" t="s">
        <v>33</v>
      </c>
      <c r="R208" t="s">
        <v>27</v>
      </c>
    </row>
    <row r="209" spans="1:18" x14ac:dyDescent="0.25">
      <c r="A209" t="s">
        <v>466</v>
      </c>
      <c r="B209" t="s">
        <v>467</v>
      </c>
      <c r="C209">
        <v>2</v>
      </c>
      <c r="D209" t="s">
        <v>20</v>
      </c>
      <c r="E209" t="s">
        <v>50</v>
      </c>
      <c r="F209" t="s">
        <v>46</v>
      </c>
      <c r="G209" t="s">
        <v>23</v>
      </c>
      <c r="H209" s="1">
        <v>45518</v>
      </c>
      <c r="I209" s="1">
        <v>45355</v>
      </c>
      <c r="J209" t="s">
        <v>32</v>
      </c>
      <c r="K209">
        <v>17</v>
      </c>
      <c r="L209">
        <v>148927</v>
      </c>
      <c r="M209">
        <v>4255</v>
      </c>
      <c r="N209">
        <v>2552</v>
      </c>
      <c r="O209">
        <v>97312</v>
      </c>
      <c r="P209" t="s">
        <v>51</v>
      </c>
      <c r="Q209" t="s">
        <v>87</v>
      </c>
      <c r="R209" t="s">
        <v>27</v>
      </c>
    </row>
    <row r="210" spans="1:18" x14ac:dyDescent="0.25">
      <c r="A210" t="s">
        <v>468</v>
      </c>
      <c r="B210" t="s">
        <v>469</v>
      </c>
      <c r="C210">
        <v>53</v>
      </c>
      <c r="D210" t="s">
        <v>20</v>
      </c>
      <c r="E210" t="s">
        <v>21</v>
      </c>
      <c r="F210" t="s">
        <v>38</v>
      </c>
      <c r="G210" t="s">
        <v>80</v>
      </c>
      <c r="H210" s="1">
        <v>45524</v>
      </c>
      <c r="I210" s="1">
        <v>45401</v>
      </c>
      <c r="J210" t="s">
        <v>40</v>
      </c>
      <c r="K210">
        <v>15</v>
      </c>
      <c r="L210">
        <v>90178</v>
      </c>
      <c r="M210">
        <v>6213</v>
      </c>
      <c r="N210">
        <v>22893</v>
      </c>
      <c r="O210">
        <v>200458</v>
      </c>
      <c r="P210" t="s">
        <v>25</v>
      </c>
      <c r="Q210" t="s">
        <v>58</v>
      </c>
      <c r="R210" t="s">
        <v>34</v>
      </c>
    </row>
    <row r="211" spans="1:18" x14ac:dyDescent="0.25">
      <c r="A211" t="s">
        <v>470</v>
      </c>
      <c r="B211" t="s">
        <v>471</v>
      </c>
      <c r="C211">
        <v>44</v>
      </c>
      <c r="D211" t="s">
        <v>37</v>
      </c>
      <c r="E211" t="s">
        <v>54</v>
      </c>
      <c r="F211" t="s">
        <v>75</v>
      </c>
      <c r="G211" t="s">
        <v>23</v>
      </c>
      <c r="H211" s="1">
        <v>45512</v>
      </c>
      <c r="I211" s="1">
        <v>45313</v>
      </c>
      <c r="J211" t="s">
        <v>40</v>
      </c>
      <c r="K211">
        <v>6</v>
      </c>
      <c r="L211">
        <v>106121</v>
      </c>
      <c r="M211">
        <v>37876</v>
      </c>
      <c r="N211">
        <v>28384</v>
      </c>
      <c r="O211">
        <v>91291</v>
      </c>
      <c r="P211" t="s">
        <v>51</v>
      </c>
      <c r="Q211" t="s">
        <v>58</v>
      </c>
      <c r="R211" t="s">
        <v>27</v>
      </c>
    </row>
    <row r="212" spans="1:18" x14ac:dyDescent="0.25">
      <c r="A212" t="s">
        <v>472</v>
      </c>
      <c r="B212" t="s">
        <v>473</v>
      </c>
      <c r="C212">
        <v>32</v>
      </c>
      <c r="D212" t="s">
        <v>20</v>
      </c>
      <c r="E212" t="s">
        <v>69</v>
      </c>
      <c r="F212" t="s">
        <v>22</v>
      </c>
      <c r="G212" t="s">
        <v>80</v>
      </c>
      <c r="H212" s="1">
        <v>45333</v>
      </c>
      <c r="I212" s="1">
        <v>45450</v>
      </c>
      <c r="J212" t="s">
        <v>24</v>
      </c>
      <c r="K212">
        <v>15</v>
      </c>
      <c r="L212">
        <v>25025</v>
      </c>
      <c r="M212">
        <v>20404</v>
      </c>
      <c r="N212">
        <v>2216</v>
      </c>
      <c r="O212">
        <v>15135</v>
      </c>
      <c r="P212" t="s">
        <v>25</v>
      </c>
      <c r="Q212" t="s">
        <v>26</v>
      </c>
      <c r="R212" t="s">
        <v>27</v>
      </c>
    </row>
    <row r="213" spans="1:18" x14ac:dyDescent="0.25">
      <c r="A213" t="s">
        <v>474</v>
      </c>
      <c r="B213" t="s">
        <v>475</v>
      </c>
      <c r="C213">
        <v>70</v>
      </c>
      <c r="D213" t="s">
        <v>37</v>
      </c>
      <c r="E213" t="s">
        <v>30</v>
      </c>
      <c r="F213" t="s">
        <v>22</v>
      </c>
      <c r="G213" t="s">
        <v>80</v>
      </c>
      <c r="H213" s="1">
        <v>45312</v>
      </c>
      <c r="I213" s="1">
        <v>45561</v>
      </c>
      <c r="J213" t="s">
        <v>57</v>
      </c>
      <c r="K213">
        <v>9</v>
      </c>
      <c r="L213">
        <v>140530</v>
      </c>
      <c r="M213">
        <v>26380</v>
      </c>
      <c r="N213">
        <v>810</v>
      </c>
      <c r="O213">
        <v>8320</v>
      </c>
      <c r="P213" t="s">
        <v>51</v>
      </c>
      <c r="Q213" t="s">
        <v>58</v>
      </c>
      <c r="R213" t="s">
        <v>42</v>
      </c>
    </row>
    <row r="214" spans="1:18" x14ac:dyDescent="0.25">
      <c r="A214" t="s">
        <v>476</v>
      </c>
      <c r="B214" t="s">
        <v>477</v>
      </c>
      <c r="C214">
        <v>32</v>
      </c>
      <c r="D214" t="s">
        <v>37</v>
      </c>
      <c r="E214" t="s">
        <v>30</v>
      </c>
      <c r="F214" t="s">
        <v>75</v>
      </c>
      <c r="G214" t="s">
        <v>39</v>
      </c>
      <c r="H214" s="1">
        <v>45333</v>
      </c>
      <c r="I214" s="1">
        <v>45454</v>
      </c>
      <c r="J214" t="s">
        <v>32</v>
      </c>
      <c r="K214">
        <v>14</v>
      </c>
      <c r="L214">
        <v>68610</v>
      </c>
      <c r="M214">
        <v>26520</v>
      </c>
      <c r="N214">
        <v>14891</v>
      </c>
      <c r="O214">
        <v>242030</v>
      </c>
      <c r="P214" t="s">
        <v>41</v>
      </c>
      <c r="Q214" t="s">
        <v>33</v>
      </c>
      <c r="R214" t="s">
        <v>34</v>
      </c>
    </row>
    <row r="215" spans="1:18" x14ac:dyDescent="0.25">
      <c r="A215" t="s">
        <v>478</v>
      </c>
      <c r="B215" t="s">
        <v>479</v>
      </c>
      <c r="C215">
        <v>68</v>
      </c>
      <c r="D215" t="s">
        <v>37</v>
      </c>
      <c r="E215" t="s">
        <v>50</v>
      </c>
      <c r="F215" t="s">
        <v>66</v>
      </c>
      <c r="G215" t="s">
        <v>39</v>
      </c>
      <c r="H215" s="1">
        <v>45404</v>
      </c>
      <c r="I215" s="1">
        <v>45552</v>
      </c>
      <c r="J215" t="s">
        <v>32</v>
      </c>
      <c r="K215">
        <v>18</v>
      </c>
      <c r="L215">
        <v>75843</v>
      </c>
      <c r="M215">
        <v>20173</v>
      </c>
      <c r="N215">
        <v>21422</v>
      </c>
      <c r="O215">
        <v>233243</v>
      </c>
      <c r="P215" t="s">
        <v>25</v>
      </c>
      <c r="Q215" t="s">
        <v>26</v>
      </c>
      <c r="R215" t="s">
        <v>42</v>
      </c>
    </row>
    <row r="216" spans="1:18" x14ac:dyDescent="0.25">
      <c r="A216" t="s">
        <v>480</v>
      </c>
      <c r="B216" t="s">
        <v>481</v>
      </c>
      <c r="C216">
        <v>55</v>
      </c>
      <c r="D216" t="s">
        <v>20</v>
      </c>
      <c r="E216" t="s">
        <v>45</v>
      </c>
      <c r="F216" t="s">
        <v>66</v>
      </c>
      <c r="G216" t="s">
        <v>39</v>
      </c>
      <c r="H216" s="1">
        <v>45396</v>
      </c>
      <c r="I216" s="1">
        <v>45394</v>
      </c>
      <c r="J216" t="s">
        <v>57</v>
      </c>
      <c r="K216">
        <v>17</v>
      </c>
      <c r="L216">
        <v>112237</v>
      </c>
      <c r="M216">
        <v>24989</v>
      </c>
      <c r="N216">
        <v>1760</v>
      </c>
      <c r="O216">
        <v>160756</v>
      </c>
      <c r="P216" t="s">
        <v>25</v>
      </c>
      <c r="Q216" t="s">
        <v>58</v>
      </c>
      <c r="R216" t="s">
        <v>42</v>
      </c>
    </row>
    <row r="217" spans="1:18" x14ac:dyDescent="0.25">
      <c r="A217" t="s">
        <v>482</v>
      </c>
      <c r="B217" t="s">
        <v>483</v>
      </c>
      <c r="C217">
        <v>75</v>
      </c>
      <c r="D217" t="s">
        <v>20</v>
      </c>
      <c r="E217" t="s">
        <v>50</v>
      </c>
      <c r="F217" t="s">
        <v>38</v>
      </c>
      <c r="G217" t="s">
        <v>39</v>
      </c>
      <c r="H217" s="1">
        <v>45483</v>
      </c>
      <c r="I217" s="1">
        <v>45515</v>
      </c>
      <c r="J217" t="s">
        <v>57</v>
      </c>
      <c r="K217">
        <v>18</v>
      </c>
      <c r="L217">
        <v>185903</v>
      </c>
      <c r="M217">
        <v>43570</v>
      </c>
      <c r="N217">
        <v>13657</v>
      </c>
      <c r="O217">
        <v>194985</v>
      </c>
      <c r="P217" t="s">
        <v>63</v>
      </c>
      <c r="Q217" t="s">
        <v>58</v>
      </c>
      <c r="R217" t="s">
        <v>27</v>
      </c>
    </row>
    <row r="218" spans="1:18" x14ac:dyDescent="0.25">
      <c r="A218" t="s">
        <v>484</v>
      </c>
      <c r="B218" t="s">
        <v>485</v>
      </c>
      <c r="C218">
        <v>56</v>
      </c>
      <c r="D218" t="s">
        <v>20</v>
      </c>
      <c r="E218" t="s">
        <v>45</v>
      </c>
      <c r="F218" t="s">
        <v>31</v>
      </c>
      <c r="G218" t="s">
        <v>23</v>
      </c>
      <c r="H218" s="1">
        <v>45308</v>
      </c>
      <c r="I218" s="1">
        <v>45351</v>
      </c>
      <c r="J218" t="s">
        <v>24</v>
      </c>
      <c r="K218">
        <v>5</v>
      </c>
      <c r="L218">
        <v>179499</v>
      </c>
      <c r="M218">
        <v>25519</v>
      </c>
      <c r="N218">
        <v>20816</v>
      </c>
      <c r="O218">
        <v>96774</v>
      </c>
      <c r="P218" t="s">
        <v>63</v>
      </c>
      <c r="Q218" t="s">
        <v>87</v>
      </c>
      <c r="R218" t="s">
        <v>27</v>
      </c>
    </row>
    <row r="219" spans="1:18" x14ac:dyDescent="0.25">
      <c r="A219" t="s">
        <v>486</v>
      </c>
      <c r="B219" t="s">
        <v>487</v>
      </c>
      <c r="C219">
        <v>17</v>
      </c>
      <c r="D219" t="s">
        <v>20</v>
      </c>
      <c r="E219" t="s">
        <v>50</v>
      </c>
      <c r="F219" t="s">
        <v>46</v>
      </c>
      <c r="G219" t="s">
        <v>39</v>
      </c>
      <c r="H219" s="1">
        <v>45411</v>
      </c>
      <c r="I219" s="1">
        <v>45539</v>
      </c>
      <c r="J219" t="s">
        <v>57</v>
      </c>
      <c r="K219">
        <v>9</v>
      </c>
      <c r="L219">
        <v>135299</v>
      </c>
      <c r="M219">
        <v>23439</v>
      </c>
      <c r="N219">
        <v>11960</v>
      </c>
      <c r="O219">
        <v>160961</v>
      </c>
      <c r="P219" t="s">
        <v>51</v>
      </c>
      <c r="Q219" t="s">
        <v>58</v>
      </c>
      <c r="R219" t="s">
        <v>34</v>
      </c>
    </row>
    <row r="220" spans="1:18" x14ac:dyDescent="0.25">
      <c r="A220" t="s">
        <v>488</v>
      </c>
      <c r="B220" t="s">
        <v>489</v>
      </c>
      <c r="C220">
        <v>38</v>
      </c>
      <c r="D220" t="s">
        <v>20</v>
      </c>
      <c r="E220" t="s">
        <v>50</v>
      </c>
      <c r="F220" t="s">
        <v>66</v>
      </c>
      <c r="G220" t="s">
        <v>23</v>
      </c>
      <c r="H220" s="1">
        <v>45420</v>
      </c>
      <c r="I220" s="1">
        <v>45420</v>
      </c>
      <c r="J220" t="s">
        <v>32</v>
      </c>
      <c r="K220">
        <v>11</v>
      </c>
      <c r="L220">
        <v>174578</v>
      </c>
      <c r="M220">
        <v>12413</v>
      </c>
      <c r="N220">
        <v>17468</v>
      </c>
      <c r="O220">
        <v>234921</v>
      </c>
      <c r="P220" t="s">
        <v>25</v>
      </c>
      <c r="Q220" t="s">
        <v>47</v>
      </c>
      <c r="R220" t="s">
        <v>27</v>
      </c>
    </row>
    <row r="221" spans="1:18" x14ac:dyDescent="0.25">
      <c r="A221" t="s">
        <v>490</v>
      </c>
      <c r="B221" t="s">
        <v>491</v>
      </c>
      <c r="C221">
        <v>24</v>
      </c>
      <c r="D221" t="s">
        <v>20</v>
      </c>
      <c r="E221" t="s">
        <v>50</v>
      </c>
      <c r="F221" t="s">
        <v>22</v>
      </c>
      <c r="G221" t="s">
        <v>39</v>
      </c>
      <c r="H221" s="1">
        <v>45421</v>
      </c>
      <c r="I221" s="1">
        <v>45575</v>
      </c>
      <c r="J221" t="s">
        <v>32</v>
      </c>
      <c r="K221">
        <v>1</v>
      </c>
      <c r="L221">
        <v>10668</v>
      </c>
      <c r="M221">
        <v>15995</v>
      </c>
      <c r="N221">
        <v>27875</v>
      </c>
      <c r="O221">
        <v>106071</v>
      </c>
      <c r="P221" t="s">
        <v>51</v>
      </c>
      <c r="Q221" t="s">
        <v>26</v>
      </c>
      <c r="R221" t="s">
        <v>27</v>
      </c>
    </row>
    <row r="222" spans="1:18" x14ac:dyDescent="0.25">
      <c r="A222" t="s">
        <v>492</v>
      </c>
      <c r="B222" t="s">
        <v>493</v>
      </c>
      <c r="C222">
        <v>69</v>
      </c>
      <c r="D222" t="s">
        <v>20</v>
      </c>
      <c r="E222" t="s">
        <v>45</v>
      </c>
      <c r="F222" t="s">
        <v>38</v>
      </c>
      <c r="G222" t="s">
        <v>23</v>
      </c>
      <c r="H222" s="1">
        <v>45351</v>
      </c>
      <c r="I222" s="1">
        <v>45617</v>
      </c>
      <c r="J222" t="s">
        <v>32</v>
      </c>
      <c r="K222">
        <v>18</v>
      </c>
      <c r="L222">
        <v>183267</v>
      </c>
      <c r="M222">
        <v>24559</v>
      </c>
      <c r="N222">
        <v>24500</v>
      </c>
      <c r="O222">
        <v>187971</v>
      </c>
      <c r="P222" t="s">
        <v>41</v>
      </c>
      <c r="Q222" t="s">
        <v>47</v>
      </c>
      <c r="R222" t="s">
        <v>34</v>
      </c>
    </row>
    <row r="223" spans="1:18" x14ac:dyDescent="0.25">
      <c r="A223" t="s">
        <v>494</v>
      </c>
      <c r="B223" t="s">
        <v>495</v>
      </c>
      <c r="C223">
        <v>70</v>
      </c>
      <c r="D223" t="s">
        <v>20</v>
      </c>
      <c r="E223" t="s">
        <v>45</v>
      </c>
      <c r="F223" t="s">
        <v>46</v>
      </c>
      <c r="G223" t="s">
        <v>80</v>
      </c>
      <c r="H223" s="1">
        <v>45339</v>
      </c>
      <c r="I223" s="1">
        <v>45317</v>
      </c>
      <c r="J223" t="s">
        <v>32</v>
      </c>
      <c r="K223">
        <v>6</v>
      </c>
      <c r="L223">
        <v>78233</v>
      </c>
      <c r="M223">
        <v>46351</v>
      </c>
      <c r="N223">
        <v>25435</v>
      </c>
      <c r="O223">
        <v>149842</v>
      </c>
      <c r="P223" t="s">
        <v>63</v>
      </c>
      <c r="Q223" t="s">
        <v>26</v>
      </c>
      <c r="R223" t="s">
        <v>27</v>
      </c>
    </row>
    <row r="224" spans="1:18" x14ac:dyDescent="0.25">
      <c r="A224" t="s">
        <v>496</v>
      </c>
      <c r="B224" t="s">
        <v>497</v>
      </c>
      <c r="C224">
        <v>86</v>
      </c>
      <c r="D224" t="s">
        <v>20</v>
      </c>
      <c r="E224" t="s">
        <v>50</v>
      </c>
      <c r="F224" t="s">
        <v>38</v>
      </c>
      <c r="G224" t="s">
        <v>23</v>
      </c>
      <c r="H224" s="1">
        <v>45320</v>
      </c>
      <c r="I224" s="1">
        <v>45423</v>
      </c>
      <c r="J224" t="s">
        <v>32</v>
      </c>
      <c r="K224">
        <v>2</v>
      </c>
      <c r="L224">
        <v>160489</v>
      </c>
      <c r="M224">
        <v>24513</v>
      </c>
      <c r="N224">
        <v>14511</v>
      </c>
      <c r="O224">
        <v>178393</v>
      </c>
      <c r="P224" t="s">
        <v>51</v>
      </c>
      <c r="Q224" t="s">
        <v>87</v>
      </c>
      <c r="R224" t="s">
        <v>42</v>
      </c>
    </row>
    <row r="225" spans="1:18" x14ac:dyDescent="0.25">
      <c r="A225" t="s">
        <v>498</v>
      </c>
      <c r="B225" t="s">
        <v>499</v>
      </c>
      <c r="C225">
        <v>11</v>
      </c>
      <c r="D225" t="s">
        <v>37</v>
      </c>
      <c r="E225" t="s">
        <v>54</v>
      </c>
      <c r="F225" t="s">
        <v>46</v>
      </c>
      <c r="G225" t="s">
        <v>23</v>
      </c>
      <c r="H225" s="1">
        <v>45388</v>
      </c>
      <c r="I225" s="1">
        <v>45645</v>
      </c>
      <c r="J225" t="s">
        <v>24</v>
      </c>
      <c r="K225">
        <v>15</v>
      </c>
      <c r="L225">
        <v>86982</v>
      </c>
      <c r="M225">
        <v>6021</v>
      </c>
      <c r="N225">
        <v>3366</v>
      </c>
      <c r="O225">
        <v>225034</v>
      </c>
      <c r="P225" t="s">
        <v>51</v>
      </c>
      <c r="Q225" t="s">
        <v>58</v>
      </c>
      <c r="R225" t="s">
        <v>34</v>
      </c>
    </row>
    <row r="226" spans="1:18" x14ac:dyDescent="0.25">
      <c r="A226" t="s">
        <v>500</v>
      </c>
      <c r="B226" t="s">
        <v>501</v>
      </c>
      <c r="C226">
        <v>16</v>
      </c>
      <c r="D226" t="s">
        <v>20</v>
      </c>
      <c r="E226" t="s">
        <v>21</v>
      </c>
      <c r="F226" t="s">
        <v>46</v>
      </c>
      <c r="G226" t="s">
        <v>39</v>
      </c>
      <c r="H226" s="1">
        <v>45301</v>
      </c>
      <c r="I226" s="1">
        <v>45488</v>
      </c>
      <c r="J226" t="s">
        <v>32</v>
      </c>
      <c r="K226">
        <v>14</v>
      </c>
      <c r="L226">
        <v>111133</v>
      </c>
      <c r="M226">
        <v>33464</v>
      </c>
      <c r="N226">
        <v>14865</v>
      </c>
      <c r="O226">
        <v>117863</v>
      </c>
      <c r="P226" t="s">
        <v>63</v>
      </c>
      <c r="Q226" t="s">
        <v>58</v>
      </c>
      <c r="R226" t="s">
        <v>27</v>
      </c>
    </row>
    <row r="227" spans="1:18" x14ac:dyDescent="0.25">
      <c r="A227" t="s">
        <v>502</v>
      </c>
      <c r="B227" t="s">
        <v>503</v>
      </c>
      <c r="C227">
        <v>73</v>
      </c>
      <c r="D227" t="s">
        <v>20</v>
      </c>
      <c r="E227" t="s">
        <v>21</v>
      </c>
      <c r="F227" t="s">
        <v>75</v>
      </c>
      <c r="G227" t="s">
        <v>23</v>
      </c>
      <c r="H227" s="1">
        <v>45533</v>
      </c>
      <c r="I227" s="1">
        <v>45573</v>
      </c>
      <c r="J227" t="s">
        <v>24</v>
      </c>
      <c r="K227">
        <v>5</v>
      </c>
      <c r="L227">
        <v>15751</v>
      </c>
      <c r="M227">
        <v>22119</v>
      </c>
      <c r="N227">
        <v>6398</v>
      </c>
      <c r="O227">
        <v>49777</v>
      </c>
      <c r="P227" t="s">
        <v>25</v>
      </c>
      <c r="Q227" t="s">
        <v>58</v>
      </c>
      <c r="R227" t="s">
        <v>70</v>
      </c>
    </row>
    <row r="228" spans="1:18" x14ac:dyDescent="0.25">
      <c r="A228" t="s">
        <v>504</v>
      </c>
      <c r="B228" t="s">
        <v>505</v>
      </c>
      <c r="C228">
        <v>59</v>
      </c>
      <c r="D228" t="s">
        <v>20</v>
      </c>
      <c r="E228" t="s">
        <v>21</v>
      </c>
      <c r="F228" t="s">
        <v>66</v>
      </c>
      <c r="G228" t="s">
        <v>80</v>
      </c>
      <c r="H228" s="1">
        <v>45605</v>
      </c>
      <c r="I228" s="1">
        <v>45446</v>
      </c>
      <c r="J228" t="s">
        <v>32</v>
      </c>
      <c r="K228">
        <v>6</v>
      </c>
      <c r="L228">
        <v>51218</v>
      </c>
      <c r="M228">
        <v>30299</v>
      </c>
      <c r="N228">
        <v>18895</v>
      </c>
      <c r="O228">
        <v>54250</v>
      </c>
      <c r="P228" t="s">
        <v>51</v>
      </c>
      <c r="Q228" t="s">
        <v>26</v>
      </c>
      <c r="R228" t="s">
        <v>34</v>
      </c>
    </row>
    <row r="229" spans="1:18" x14ac:dyDescent="0.25">
      <c r="A229" t="s">
        <v>506</v>
      </c>
      <c r="B229" t="s">
        <v>507</v>
      </c>
      <c r="C229">
        <v>70</v>
      </c>
      <c r="D229" t="s">
        <v>20</v>
      </c>
      <c r="E229" t="s">
        <v>45</v>
      </c>
      <c r="F229" t="s">
        <v>38</v>
      </c>
      <c r="G229" t="s">
        <v>80</v>
      </c>
      <c r="H229" s="1">
        <v>45523</v>
      </c>
      <c r="I229" s="1">
        <v>45425</v>
      </c>
      <c r="J229" t="s">
        <v>40</v>
      </c>
      <c r="K229">
        <v>6</v>
      </c>
      <c r="L229">
        <v>131649</v>
      </c>
      <c r="M229">
        <v>40350</v>
      </c>
      <c r="N229">
        <v>6751</v>
      </c>
      <c r="O229">
        <v>81034</v>
      </c>
      <c r="P229" t="s">
        <v>63</v>
      </c>
      <c r="Q229" t="s">
        <v>58</v>
      </c>
      <c r="R229" t="s">
        <v>34</v>
      </c>
    </row>
    <row r="230" spans="1:18" x14ac:dyDescent="0.25">
      <c r="A230" t="s">
        <v>508</v>
      </c>
      <c r="B230" t="s">
        <v>509</v>
      </c>
      <c r="C230">
        <v>80</v>
      </c>
      <c r="D230" t="s">
        <v>20</v>
      </c>
      <c r="E230" t="s">
        <v>45</v>
      </c>
      <c r="F230" t="s">
        <v>38</v>
      </c>
      <c r="G230" t="s">
        <v>39</v>
      </c>
      <c r="H230" s="1">
        <v>45568</v>
      </c>
      <c r="I230" s="1">
        <v>45519</v>
      </c>
      <c r="J230" t="s">
        <v>40</v>
      </c>
      <c r="K230">
        <v>18</v>
      </c>
      <c r="L230">
        <v>12352</v>
      </c>
      <c r="M230">
        <v>47223</v>
      </c>
      <c r="N230">
        <v>5439</v>
      </c>
      <c r="O230">
        <v>112940</v>
      </c>
      <c r="P230" t="s">
        <v>25</v>
      </c>
      <c r="Q230" t="s">
        <v>47</v>
      </c>
      <c r="R230" t="s">
        <v>70</v>
      </c>
    </row>
    <row r="231" spans="1:18" x14ac:dyDescent="0.25">
      <c r="A231" t="s">
        <v>510</v>
      </c>
      <c r="B231" t="s">
        <v>511</v>
      </c>
      <c r="C231">
        <v>3</v>
      </c>
      <c r="D231" t="s">
        <v>20</v>
      </c>
      <c r="E231" t="s">
        <v>54</v>
      </c>
      <c r="F231" t="s">
        <v>75</v>
      </c>
      <c r="G231" t="s">
        <v>80</v>
      </c>
      <c r="H231" s="1">
        <v>45575</v>
      </c>
      <c r="I231" s="1">
        <v>45481</v>
      </c>
      <c r="J231" t="s">
        <v>40</v>
      </c>
      <c r="K231">
        <v>14</v>
      </c>
      <c r="L231">
        <v>93835</v>
      </c>
      <c r="M231">
        <v>26517</v>
      </c>
      <c r="N231">
        <v>4506</v>
      </c>
      <c r="O231">
        <v>48130</v>
      </c>
      <c r="P231" t="s">
        <v>41</v>
      </c>
      <c r="Q231" t="s">
        <v>58</v>
      </c>
      <c r="R231" t="s">
        <v>27</v>
      </c>
    </row>
    <row r="232" spans="1:18" x14ac:dyDescent="0.25">
      <c r="A232" t="s">
        <v>512</v>
      </c>
      <c r="B232" t="s">
        <v>513</v>
      </c>
      <c r="C232">
        <v>20</v>
      </c>
      <c r="D232" t="s">
        <v>20</v>
      </c>
      <c r="E232" t="s">
        <v>21</v>
      </c>
      <c r="F232" t="s">
        <v>22</v>
      </c>
      <c r="G232" t="s">
        <v>23</v>
      </c>
      <c r="H232" s="1">
        <v>45494</v>
      </c>
      <c r="I232" s="1">
        <v>45557</v>
      </c>
      <c r="J232" t="s">
        <v>40</v>
      </c>
      <c r="K232">
        <v>10</v>
      </c>
      <c r="L232">
        <v>102493</v>
      </c>
      <c r="M232">
        <v>14117</v>
      </c>
      <c r="N232">
        <v>2125</v>
      </c>
      <c r="O232">
        <v>221003</v>
      </c>
      <c r="P232" t="s">
        <v>63</v>
      </c>
      <c r="Q232" t="s">
        <v>87</v>
      </c>
      <c r="R232" t="s">
        <v>27</v>
      </c>
    </row>
    <row r="233" spans="1:18" x14ac:dyDescent="0.25">
      <c r="A233" t="s">
        <v>514</v>
      </c>
      <c r="B233" t="s">
        <v>515</v>
      </c>
      <c r="C233">
        <v>59</v>
      </c>
      <c r="D233" t="s">
        <v>20</v>
      </c>
      <c r="E233" t="s">
        <v>21</v>
      </c>
      <c r="F233" t="s">
        <v>22</v>
      </c>
      <c r="G233" t="s">
        <v>80</v>
      </c>
      <c r="H233" s="1">
        <v>45538</v>
      </c>
      <c r="I233" s="1">
        <v>45426</v>
      </c>
      <c r="J233" t="s">
        <v>24</v>
      </c>
      <c r="K233">
        <v>14</v>
      </c>
      <c r="L233">
        <v>33927</v>
      </c>
      <c r="M233">
        <v>23250</v>
      </c>
      <c r="N233">
        <v>11456</v>
      </c>
      <c r="O233">
        <v>188418</v>
      </c>
      <c r="P233" t="s">
        <v>51</v>
      </c>
      <c r="Q233" t="s">
        <v>47</v>
      </c>
      <c r="R233" t="s">
        <v>34</v>
      </c>
    </row>
    <row r="234" spans="1:18" x14ac:dyDescent="0.25">
      <c r="A234" t="s">
        <v>516</v>
      </c>
      <c r="B234" t="s">
        <v>517</v>
      </c>
      <c r="C234">
        <v>36</v>
      </c>
      <c r="D234" t="s">
        <v>20</v>
      </c>
      <c r="E234" t="s">
        <v>50</v>
      </c>
      <c r="F234" t="s">
        <v>66</v>
      </c>
      <c r="G234" t="s">
        <v>39</v>
      </c>
      <c r="H234" s="1">
        <v>45581</v>
      </c>
      <c r="I234" s="1">
        <v>45503</v>
      </c>
      <c r="J234" t="s">
        <v>24</v>
      </c>
      <c r="K234">
        <v>13</v>
      </c>
      <c r="L234">
        <v>177166</v>
      </c>
      <c r="M234">
        <v>19950</v>
      </c>
      <c r="N234">
        <v>17774</v>
      </c>
      <c r="O234">
        <v>141609</v>
      </c>
      <c r="P234" t="s">
        <v>41</v>
      </c>
      <c r="Q234" t="s">
        <v>58</v>
      </c>
      <c r="R234" t="s">
        <v>34</v>
      </c>
    </row>
    <row r="235" spans="1:18" x14ac:dyDescent="0.25">
      <c r="A235" t="s">
        <v>518</v>
      </c>
      <c r="B235" t="s">
        <v>519</v>
      </c>
      <c r="C235">
        <v>19</v>
      </c>
      <c r="D235" t="s">
        <v>20</v>
      </c>
      <c r="E235" t="s">
        <v>45</v>
      </c>
      <c r="F235" t="s">
        <v>66</v>
      </c>
      <c r="G235" t="s">
        <v>23</v>
      </c>
      <c r="H235" s="1">
        <v>45555</v>
      </c>
      <c r="I235" s="1">
        <v>45352</v>
      </c>
      <c r="J235" t="s">
        <v>57</v>
      </c>
      <c r="K235">
        <v>3</v>
      </c>
      <c r="L235">
        <v>106948</v>
      </c>
      <c r="M235">
        <v>18359</v>
      </c>
      <c r="N235">
        <v>6578</v>
      </c>
      <c r="O235">
        <v>223834</v>
      </c>
      <c r="P235" t="s">
        <v>25</v>
      </c>
      <c r="Q235" t="s">
        <v>58</v>
      </c>
      <c r="R235" t="s">
        <v>27</v>
      </c>
    </row>
    <row r="236" spans="1:18" x14ac:dyDescent="0.25">
      <c r="A236" t="s">
        <v>520</v>
      </c>
      <c r="B236" t="s">
        <v>521</v>
      </c>
      <c r="C236">
        <v>67</v>
      </c>
      <c r="D236" t="s">
        <v>20</v>
      </c>
      <c r="E236" t="s">
        <v>21</v>
      </c>
      <c r="F236" t="s">
        <v>31</v>
      </c>
      <c r="G236" t="s">
        <v>39</v>
      </c>
      <c r="H236" s="1">
        <v>45505</v>
      </c>
      <c r="I236" s="1">
        <v>45656</v>
      </c>
      <c r="J236" t="s">
        <v>32</v>
      </c>
      <c r="K236">
        <v>6</v>
      </c>
      <c r="L236">
        <v>190194</v>
      </c>
      <c r="M236">
        <v>24596</v>
      </c>
      <c r="N236">
        <v>23920</v>
      </c>
      <c r="O236">
        <v>23216</v>
      </c>
      <c r="P236" t="s">
        <v>25</v>
      </c>
      <c r="Q236" t="s">
        <v>33</v>
      </c>
      <c r="R236" t="s">
        <v>27</v>
      </c>
    </row>
    <row r="237" spans="1:18" x14ac:dyDescent="0.25">
      <c r="A237" t="s">
        <v>522</v>
      </c>
      <c r="B237" t="s">
        <v>523</v>
      </c>
      <c r="C237">
        <v>19</v>
      </c>
      <c r="D237" t="s">
        <v>37</v>
      </c>
      <c r="E237" t="s">
        <v>30</v>
      </c>
      <c r="F237" t="s">
        <v>75</v>
      </c>
      <c r="G237" t="s">
        <v>23</v>
      </c>
      <c r="H237" s="1">
        <v>45491</v>
      </c>
      <c r="I237" s="1">
        <v>45656</v>
      </c>
      <c r="J237" t="s">
        <v>40</v>
      </c>
      <c r="K237">
        <v>8</v>
      </c>
      <c r="L237">
        <v>34493</v>
      </c>
      <c r="M237">
        <v>26530</v>
      </c>
      <c r="N237">
        <v>9423</v>
      </c>
      <c r="O237">
        <v>92149</v>
      </c>
      <c r="P237" t="s">
        <v>63</v>
      </c>
      <c r="Q237" t="s">
        <v>26</v>
      </c>
      <c r="R237" t="s">
        <v>42</v>
      </c>
    </row>
    <row r="238" spans="1:18" x14ac:dyDescent="0.25">
      <c r="A238" t="s">
        <v>524</v>
      </c>
      <c r="B238" t="s">
        <v>525</v>
      </c>
      <c r="C238">
        <v>20</v>
      </c>
      <c r="D238" t="s">
        <v>37</v>
      </c>
      <c r="E238" t="s">
        <v>54</v>
      </c>
      <c r="F238" t="s">
        <v>22</v>
      </c>
      <c r="G238" t="s">
        <v>80</v>
      </c>
      <c r="H238" s="1">
        <v>45370</v>
      </c>
      <c r="I238" s="1">
        <v>45505</v>
      </c>
      <c r="J238" t="s">
        <v>24</v>
      </c>
      <c r="K238">
        <v>12</v>
      </c>
      <c r="L238">
        <v>36707</v>
      </c>
      <c r="M238">
        <v>2262</v>
      </c>
      <c r="N238">
        <v>4461</v>
      </c>
      <c r="O238">
        <v>11009</v>
      </c>
      <c r="P238" t="s">
        <v>63</v>
      </c>
      <c r="Q238" t="s">
        <v>47</v>
      </c>
      <c r="R238" t="s">
        <v>34</v>
      </c>
    </row>
    <row r="239" spans="1:18" x14ac:dyDescent="0.25">
      <c r="A239" t="s">
        <v>526</v>
      </c>
      <c r="B239" t="s">
        <v>527</v>
      </c>
      <c r="C239">
        <v>71</v>
      </c>
      <c r="D239" t="s">
        <v>20</v>
      </c>
      <c r="E239" t="s">
        <v>30</v>
      </c>
      <c r="F239" t="s">
        <v>46</v>
      </c>
      <c r="G239" t="s">
        <v>39</v>
      </c>
      <c r="H239" s="1">
        <v>45634</v>
      </c>
      <c r="I239" s="1">
        <v>45508</v>
      </c>
      <c r="J239" t="s">
        <v>32</v>
      </c>
      <c r="K239">
        <v>13</v>
      </c>
      <c r="L239">
        <v>143368</v>
      </c>
      <c r="M239">
        <v>41150</v>
      </c>
      <c r="N239">
        <v>29777</v>
      </c>
      <c r="O239">
        <v>97904</v>
      </c>
      <c r="P239" t="s">
        <v>63</v>
      </c>
      <c r="Q239" t="s">
        <v>33</v>
      </c>
      <c r="R239" t="s">
        <v>34</v>
      </c>
    </row>
    <row r="240" spans="1:18" x14ac:dyDescent="0.25">
      <c r="A240" t="s">
        <v>528</v>
      </c>
      <c r="B240" t="s">
        <v>529</v>
      </c>
      <c r="C240">
        <v>52</v>
      </c>
      <c r="D240" t="s">
        <v>20</v>
      </c>
      <c r="E240" t="s">
        <v>30</v>
      </c>
      <c r="F240" t="s">
        <v>38</v>
      </c>
      <c r="G240" t="s">
        <v>39</v>
      </c>
      <c r="H240" s="1">
        <v>45635</v>
      </c>
      <c r="I240" s="1">
        <v>45518</v>
      </c>
      <c r="J240" t="s">
        <v>32</v>
      </c>
      <c r="K240">
        <v>11</v>
      </c>
      <c r="L240">
        <v>161470</v>
      </c>
      <c r="M240">
        <v>23615</v>
      </c>
      <c r="N240">
        <v>19388</v>
      </c>
      <c r="O240">
        <v>168399</v>
      </c>
      <c r="P240" t="s">
        <v>25</v>
      </c>
      <c r="Q240" t="s">
        <v>87</v>
      </c>
      <c r="R240" t="s">
        <v>70</v>
      </c>
    </row>
    <row r="241" spans="1:18" x14ac:dyDescent="0.25">
      <c r="A241" t="s">
        <v>530</v>
      </c>
      <c r="B241" t="s">
        <v>531</v>
      </c>
      <c r="C241">
        <v>33</v>
      </c>
      <c r="D241" t="s">
        <v>37</v>
      </c>
      <c r="E241" t="s">
        <v>54</v>
      </c>
      <c r="F241" t="s">
        <v>66</v>
      </c>
      <c r="G241" t="s">
        <v>23</v>
      </c>
      <c r="H241" s="1">
        <v>45464</v>
      </c>
      <c r="I241" s="1">
        <v>45423</v>
      </c>
      <c r="J241" t="s">
        <v>24</v>
      </c>
      <c r="K241">
        <v>12</v>
      </c>
      <c r="L241">
        <v>40842</v>
      </c>
      <c r="M241">
        <v>4327</v>
      </c>
      <c r="N241">
        <v>9306</v>
      </c>
      <c r="O241">
        <v>153281</v>
      </c>
      <c r="P241" t="s">
        <v>41</v>
      </c>
      <c r="Q241" t="s">
        <v>26</v>
      </c>
      <c r="R241" t="s">
        <v>42</v>
      </c>
    </row>
    <row r="242" spans="1:18" x14ac:dyDescent="0.25">
      <c r="A242" t="s">
        <v>532</v>
      </c>
      <c r="B242" t="s">
        <v>533</v>
      </c>
      <c r="C242">
        <v>40</v>
      </c>
      <c r="D242" t="s">
        <v>20</v>
      </c>
      <c r="E242" t="s">
        <v>30</v>
      </c>
      <c r="F242" t="s">
        <v>38</v>
      </c>
      <c r="G242" t="s">
        <v>39</v>
      </c>
      <c r="H242" s="1">
        <v>45360</v>
      </c>
      <c r="I242" s="1">
        <v>45368</v>
      </c>
      <c r="J242" t="s">
        <v>40</v>
      </c>
      <c r="K242">
        <v>1</v>
      </c>
      <c r="L242">
        <v>18261</v>
      </c>
      <c r="M242">
        <v>30768</v>
      </c>
      <c r="N242">
        <v>20690</v>
      </c>
      <c r="O242">
        <v>187515</v>
      </c>
      <c r="P242" t="s">
        <v>25</v>
      </c>
      <c r="Q242" t="s">
        <v>47</v>
      </c>
      <c r="R242" t="s">
        <v>27</v>
      </c>
    </row>
    <row r="243" spans="1:18" x14ac:dyDescent="0.25">
      <c r="A243" t="s">
        <v>534</v>
      </c>
      <c r="B243" t="s">
        <v>535</v>
      </c>
      <c r="C243">
        <v>39</v>
      </c>
      <c r="D243" t="s">
        <v>37</v>
      </c>
      <c r="E243" t="s">
        <v>21</v>
      </c>
      <c r="F243" t="s">
        <v>38</v>
      </c>
      <c r="G243" t="s">
        <v>23</v>
      </c>
      <c r="H243" s="1">
        <v>45378</v>
      </c>
      <c r="I243" s="1">
        <v>45578</v>
      </c>
      <c r="J243" t="s">
        <v>57</v>
      </c>
      <c r="K243">
        <v>17</v>
      </c>
      <c r="L243">
        <v>81709</v>
      </c>
      <c r="M243">
        <v>29850</v>
      </c>
      <c r="N243">
        <v>22984</v>
      </c>
      <c r="O243">
        <v>23029</v>
      </c>
      <c r="P243" t="s">
        <v>51</v>
      </c>
      <c r="Q243" t="s">
        <v>58</v>
      </c>
      <c r="R243" t="s">
        <v>42</v>
      </c>
    </row>
    <row r="244" spans="1:18" x14ac:dyDescent="0.25">
      <c r="A244" t="s">
        <v>536</v>
      </c>
      <c r="B244" t="s">
        <v>537</v>
      </c>
      <c r="C244">
        <v>82</v>
      </c>
      <c r="D244" t="s">
        <v>37</v>
      </c>
      <c r="E244" t="s">
        <v>45</v>
      </c>
      <c r="F244" t="s">
        <v>31</v>
      </c>
      <c r="G244" t="s">
        <v>23</v>
      </c>
      <c r="H244" s="1">
        <v>45392</v>
      </c>
      <c r="I244" s="1">
        <v>45569</v>
      </c>
      <c r="J244" t="s">
        <v>32</v>
      </c>
      <c r="K244">
        <v>16</v>
      </c>
      <c r="L244">
        <v>100985</v>
      </c>
      <c r="M244">
        <v>43788</v>
      </c>
      <c r="N244">
        <v>18603</v>
      </c>
      <c r="O244">
        <v>206685</v>
      </c>
      <c r="P244" t="s">
        <v>25</v>
      </c>
      <c r="Q244" t="s">
        <v>47</v>
      </c>
      <c r="R244" t="s">
        <v>27</v>
      </c>
    </row>
    <row r="245" spans="1:18" x14ac:dyDescent="0.25">
      <c r="A245" t="s">
        <v>538</v>
      </c>
      <c r="B245" t="s">
        <v>539</v>
      </c>
      <c r="C245">
        <v>1</v>
      </c>
      <c r="D245" t="s">
        <v>37</v>
      </c>
      <c r="E245" t="s">
        <v>54</v>
      </c>
      <c r="F245" t="s">
        <v>22</v>
      </c>
      <c r="G245" t="s">
        <v>23</v>
      </c>
      <c r="H245" s="1">
        <v>45299</v>
      </c>
      <c r="I245" s="1">
        <v>45448</v>
      </c>
      <c r="J245" t="s">
        <v>57</v>
      </c>
      <c r="K245">
        <v>11</v>
      </c>
      <c r="L245">
        <v>111616</v>
      </c>
      <c r="M245">
        <v>17848</v>
      </c>
      <c r="N245">
        <v>29845</v>
      </c>
      <c r="O245">
        <v>218515</v>
      </c>
      <c r="P245" t="s">
        <v>51</v>
      </c>
      <c r="Q245" t="s">
        <v>58</v>
      </c>
      <c r="R245" t="s">
        <v>27</v>
      </c>
    </row>
    <row r="246" spans="1:18" x14ac:dyDescent="0.25">
      <c r="A246" t="s">
        <v>540</v>
      </c>
      <c r="B246" t="s">
        <v>541</v>
      </c>
      <c r="C246">
        <v>11</v>
      </c>
      <c r="D246" t="s">
        <v>37</v>
      </c>
      <c r="E246" t="s">
        <v>50</v>
      </c>
      <c r="F246" t="s">
        <v>66</v>
      </c>
      <c r="G246" t="s">
        <v>23</v>
      </c>
      <c r="H246" s="1">
        <v>45624</v>
      </c>
      <c r="I246" s="1">
        <v>45540</v>
      </c>
      <c r="J246" t="s">
        <v>40</v>
      </c>
      <c r="K246">
        <v>13</v>
      </c>
      <c r="L246">
        <v>192776</v>
      </c>
      <c r="M246">
        <v>47830</v>
      </c>
      <c r="N246">
        <v>14058</v>
      </c>
      <c r="O246">
        <v>196069</v>
      </c>
      <c r="P246" t="s">
        <v>41</v>
      </c>
      <c r="Q246" t="s">
        <v>26</v>
      </c>
      <c r="R246" t="s">
        <v>42</v>
      </c>
    </row>
    <row r="247" spans="1:18" x14ac:dyDescent="0.25">
      <c r="A247" t="s">
        <v>542</v>
      </c>
      <c r="B247" t="s">
        <v>543</v>
      </c>
      <c r="C247">
        <v>57</v>
      </c>
      <c r="D247" t="s">
        <v>37</v>
      </c>
      <c r="E247" t="s">
        <v>30</v>
      </c>
      <c r="F247" t="s">
        <v>38</v>
      </c>
      <c r="G247" t="s">
        <v>80</v>
      </c>
      <c r="H247" s="1">
        <v>45491</v>
      </c>
      <c r="I247" s="1">
        <v>45510</v>
      </c>
      <c r="J247" t="s">
        <v>40</v>
      </c>
      <c r="K247">
        <v>18</v>
      </c>
      <c r="L247">
        <v>72173</v>
      </c>
      <c r="M247">
        <v>40542</v>
      </c>
      <c r="N247">
        <v>7186</v>
      </c>
      <c r="O247">
        <v>110171</v>
      </c>
      <c r="P247" t="s">
        <v>63</v>
      </c>
      <c r="Q247" t="s">
        <v>58</v>
      </c>
      <c r="R247" t="s">
        <v>34</v>
      </c>
    </row>
    <row r="248" spans="1:18" x14ac:dyDescent="0.25">
      <c r="A248" t="s">
        <v>544</v>
      </c>
      <c r="B248" t="s">
        <v>545</v>
      </c>
      <c r="C248">
        <v>89</v>
      </c>
      <c r="D248" t="s">
        <v>20</v>
      </c>
      <c r="E248" t="s">
        <v>54</v>
      </c>
      <c r="F248" t="s">
        <v>66</v>
      </c>
      <c r="G248" t="s">
        <v>23</v>
      </c>
      <c r="H248" s="1">
        <v>45378</v>
      </c>
      <c r="I248" s="1">
        <v>45482</v>
      </c>
      <c r="J248" t="s">
        <v>57</v>
      </c>
      <c r="K248">
        <v>11</v>
      </c>
      <c r="L248">
        <v>36781</v>
      </c>
      <c r="M248">
        <v>16160</v>
      </c>
      <c r="N248">
        <v>2087</v>
      </c>
      <c r="O248">
        <v>122456</v>
      </c>
      <c r="P248" t="s">
        <v>63</v>
      </c>
      <c r="Q248" t="s">
        <v>87</v>
      </c>
      <c r="R248" t="s">
        <v>27</v>
      </c>
    </row>
    <row r="249" spans="1:18" x14ac:dyDescent="0.25">
      <c r="A249" t="s">
        <v>546</v>
      </c>
      <c r="B249" t="s">
        <v>547</v>
      </c>
      <c r="C249">
        <v>50</v>
      </c>
      <c r="D249" t="s">
        <v>37</v>
      </c>
      <c r="E249" t="s">
        <v>69</v>
      </c>
      <c r="F249" t="s">
        <v>46</v>
      </c>
      <c r="G249" t="s">
        <v>39</v>
      </c>
      <c r="H249" s="1">
        <v>45334</v>
      </c>
      <c r="I249" s="1">
        <v>45455</v>
      </c>
      <c r="J249" t="s">
        <v>40</v>
      </c>
      <c r="K249">
        <v>12</v>
      </c>
      <c r="L249">
        <v>18652</v>
      </c>
      <c r="M249">
        <v>34998</v>
      </c>
      <c r="N249">
        <v>23884</v>
      </c>
      <c r="O249">
        <v>70559</v>
      </c>
      <c r="P249" t="s">
        <v>25</v>
      </c>
      <c r="Q249" t="s">
        <v>58</v>
      </c>
      <c r="R249" t="s">
        <v>42</v>
      </c>
    </row>
    <row r="250" spans="1:18" x14ac:dyDescent="0.25">
      <c r="A250" t="s">
        <v>548</v>
      </c>
      <c r="B250" t="s">
        <v>549</v>
      </c>
      <c r="C250">
        <v>23</v>
      </c>
      <c r="D250" t="s">
        <v>20</v>
      </c>
      <c r="E250" t="s">
        <v>69</v>
      </c>
      <c r="F250" t="s">
        <v>31</v>
      </c>
      <c r="G250" t="s">
        <v>80</v>
      </c>
      <c r="H250" s="1">
        <v>45400</v>
      </c>
      <c r="I250" s="1">
        <v>45472</v>
      </c>
      <c r="J250" t="s">
        <v>32</v>
      </c>
      <c r="K250">
        <v>6</v>
      </c>
      <c r="L250">
        <v>10103</v>
      </c>
      <c r="M250">
        <v>28230</v>
      </c>
      <c r="N250">
        <v>10303</v>
      </c>
      <c r="O250">
        <v>72892</v>
      </c>
      <c r="P250" t="s">
        <v>63</v>
      </c>
      <c r="Q250" t="s">
        <v>87</v>
      </c>
      <c r="R250" t="s">
        <v>70</v>
      </c>
    </row>
    <row r="251" spans="1:18" x14ac:dyDescent="0.25">
      <c r="A251" t="s">
        <v>550</v>
      </c>
      <c r="B251" t="s">
        <v>551</v>
      </c>
      <c r="C251">
        <v>31</v>
      </c>
      <c r="D251" t="s">
        <v>20</v>
      </c>
      <c r="E251" t="s">
        <v>45</v>
      </c>
      <c r="F251" t="s">
        <v>46</v>
      </c>
      <c r="G251" t="s">
        <v>39</v>
      </c>
      <c r="H251" s="1">
        <v>45443</v>
      </c>
      <c r="I251" s="1">
        <v>45326</v>
      </c>
      <c r="J251" t="s">
        <v>57</v>
      </c>
      <c r="K251">
        <v>9</v>
      </c>
      <c r="L251">
        <v>30500</v>
      </c>
      <c r="M251">
        <v>10076</v>
      </c>
      <c r="N251">
        <v>17780</v>
      </c>
      <c r="O251">
        <v>78409</v>
      </c>
      <c r="P251" t="s">
        <v>41</v>
      </c>
      <c r="Q251" t="s">
        <v>26</v>
      </c>
      <c r="R251" t="s">
        <v>42</v>
      </c>
    </row>
    <row r="252" spans="1:18" x14ac:dyDescent="0.25">
      <c r="A252" t="s">
        <v>552</v>
      </c>
      <c r="B252" t="s">
        <v>553</v>
      </c>
      <c r="C252">
        <v>42</v>
      </c>
      <c r="D252" t="s">
        <v>37</v>
      </c>
      <c r="E252" t="s">
        <v>21</v>
      </c>
      <c r="F252" t="s">
        <v>66</v>
      </c>
      <c r="G252" t="s">
        <v>80</v>
      </c>
      <c r="H252" s="1">
        <v>45308</v>
      </c>
      <c r="I252" s="1">
        <v>45333</v>
      </c>
      <c r="J252" t="s">
        <v>40</v>
      </c>
      <c r="K252">
        <v>16</v>
      </c>
      <c r="L252">
        <v>105336</v>
      </c>
      <c r="M252">
        <v>4805</v>
      </c>
      <c r="N252">
        <v>22442</v>
      </c>
      <c r="O252">
        <v>147707</v>
      </c>
      <c r="P252" t="s">
        <v>63</v>
      </c>
      <c r="Q252" t="s">
        <v>26</v>
      </c>
      <c r="R252" t="s">
        <v>70</v>
      </c>
    </row>
    <row r="253" spans="1:18" x14ac:dyDescent="0.25">
      <c r="A253" t="s">
        <v>554</v>
      </c>
      <c r="B253" t="s">
        <v>555</v>
      </c>
      <c r="C253">
        <v>7</v>
      </c>
      <c r="D253" t="s">
        <v>37</v>
      </c>
      <c r="E253" t="s">
        <v>45</v>
      </c>
      <c r="F253" t="s">
        <v>66</v>
      </c>
      <c r="G253" t="s">
        <v>23</v>
      </c>
      <c r="H253" s="1">
        <v>45424</v>
      </c>
      <c r="I253" s="1">
        <v>45599</v>
      </c>
      <c r="J253" t="s">
        <v>57</v>
      </c>
      <c r="K253">
        <v>4</v>
      </c>
      <c r="L253">
        <v>171601</v>
      </c>
      <c r="M253">
        <v>32085</v>
      </c>
      <c r="N253">
        <v>25353</v>
      </c>
      <c r="O253">
        <v>41065</v>
      </c>
      <c r="P253" t="s">
        <v>25</v>
      </c>
      <c r="Q253" t="s">
        <v>47</v>
      </c>
      <c r="R253" t="s">
        <v>27</v>
      </c>
    </row>
    <row r="254" spans="1:18" x14ac:dyDescent="0.25">
      <c r="A254" t="s">
        <v>556</v>
      </c>
      <c r="B254" t="s">
        <v>557</v>
      </c>
      <c r="C254">
        <v>16</v>
      </c>
      <c r="D254" t="s">
        <v>20</v>
      </c>
      <c r="E254" t="s">
        <v>45</v>
      </c>
      <c r="F254" t="s">
        <v>22</v>
      </c>
      <c r="G254" t="s">
        <v>80</v>
      </c>
      <c r="H254" s="1">
        <v>45439</v>
      </c>
      <c r="I254" s="1">
        <v>45630</v>
      </c>
      <c r="J254" t="s">
        <v>32</v>
      </c>
      <c r="K254">
        <v>3</v>
      </c>
      <c r="L254">
        <v>118499</v>
      </c>
      <c r="M254">
        <v>15715</v>
      </c>
      <c r="N254">
        <v>21531</v>
      </c>
      <c r="O254">
        <v>128544</v>
      </c>
      <c r="P254" t="s">
        <v>41</v>
      </c>
      <c r="Q254" t="s">
        <v>87</v>
      </c>
      <c r="R254" t="s">
        <v>42</v>
      </c>
    </row>
    <row r="255" spans="1:18" x14ac:dyDescent="0.25">
      <c r="A255" t="s">
        <v>558</v>
      </c>
      <c r="B255" t="s">
        <v>559</v>
      </c>
      <c r="C255">
        <v>60</v>
      </c>
      <c r="D255" t="s">
        <v>37</v>
      </c>
      <c r="E255" t="s">
        <v>45</v>
      </c>
      <c r="F255" t="s">
        <v>38</v>
      </c>
      <c r="G255" t="s">
        <v>80</v>
      </c>
      <c r="H255" s="1">
        <v>45568</v>
      </c>
      <c r="I255" s="1">
        <v>45606</v>
      </c>
      <c r="J255" t="s">
        <v>40</v>
      </c>
      <c r="K255">
        <v>16</v>
      </c>
      <c r="L255">
        <v>154524</v>
      </c>
      <c r="M255">
        <v>6750</v>
      </c>
      <c r="N255">
        <v>26712</v>
      </c>
      <c r="O255">
        <v>115340</v>
      </c>
      <c r="P255" t="s">
        <v>51</v>
      </c>
      <c r="Q255" t="s">
        <v>87</v>
      </c>
      <c r="R255" t="s">
        <v>42</v>
      </c>
    </row>
    <row r="256" spans="1:18" x14ac:dyDescent="0.25">
      <c r="A256" t="s">
        <v>560</v>
      </c>
      <c r="B256" t="s">
        <v>561</v>
      </c>
      <c r="C256">
        <v>2</v>
      </c>
      <c r="D256" t="s">
        <v>37</v>
      </c>
      <c r="E256" t="s">
        <v>45</v>
      </c>
      <c r="F256" t="s">
        <v>38</v>
      </c>
      <c r="G256" t="s">
        <v>39</v>
      </c>
      <c r="H256" s="1">
        <v>45523</v>
      </c>
      <c r="I256" s="1">
        <v>45367</v>
      </c>
      <c r="J256" t="s">
        <v>32</v>
      </c>
      <c r="K256">
        <v>12</v>
      </c>
      <c r="L256">
        <v>54393</v>
      </c>
      <c r="M256">
        <v>49395</v>
      </c>
      <c r="N256">
        <v>10850</v>
      </c>
      <c r="O256">
        <v>41783</v>
      </c>
      <c r="P256" t="s">
        <v>25</v>
      </c>
      <c r="Q256" t="s">
        <v>33</v>
      </c>
      <c r="R256" t="s">
        <v>70</v>
      </c>
    </row>
    <row r="257" spans="1:18" x14ac:dyDescent="0.25">
      <c r="A257" t="s">
        <v>562</v>
      </c>
      <c r="B257" t="s">
        <v>563</v>
      </c>
      <c r="C257">
        <v>1</v>
      </c>
      <c r="D257" t="s">
        <v>20</v>
      </c>
      <c r="E257" t="s">
        <v>50</v>
      </c>
      <c r="F257" t="s">
        <v>46</v>
      </c>
      <c r="G257" t="s">
        <v>39</v>
      </c>
      <c r="H257" s="1">
        <v>45605</v>
      </c>
      <c r="I257" s="1">
        <v>45571</v>
      </c>
      <c r="J257" t="s">
        <v>40</v>
      </c>
      <c r="K257">
        <v>11</v>
      </c>
      <c r="L257">
        <v>167246</v>
      </c>
      <c r="M257">
        <v>14232</v>
      </c>
      <c r="N257">
        <v>19316</v>
      </c>
      <c r="O257">
        <v>42152</v>
      </c>
      <c r="P257" t="s">
        <v>51</v>
      </c>
      <c r="Q257" t="s">
        <v>33</v>
      </c>
      <c r="R257" t="s">
        <v>42</v>
      </c>
    </row>
    <row r="258" spans="1:18" x14ac:dyDescent="0.25">
      <c r="A258" t="s">
        <v>564</v>
      </c>
      <c r="B258" t="s">
        <v>565</v>
      </c>
      <c r="C258">
        <v>48</v>
      </c>
      <c r="D258" t="s">
        <v>20</v>
      </c>
      <c r="E258" t="s">
        <v>50</v>
      </c>
      <c r="F258" t="s">
        <v>31</v>
      </c>
      <c r="G258" t="s">
        <v>23</v>
      </c>
      <c r="H258" s="1">
        <v>45519</v>
      </c>
      <c r="I258" s="1">
        <v>45468</v>
      </c>
      <c r="J258" t="s">
        <v>24</v>
      </c>
      <c r="K258">
        <v>5</v>
      </c>
      <c r="L258">
        <v>171508</v>
      </c>
      <c r="M258">
        <v>36903</v>
      </c>
      <c r="N258">
        <v>20788</v>
      </c>
      <c r="O258">
        <v>66741</v>
      </c>
      <c r="P258" t="s">
        <v>41</v>
      </c>
      <c r="Q258" t="s">
        <v>33</v>
      </c>
      <c r="R258" t="s">
        <v>42</v>
      </c>
    </row>
    <row r="259" spans="1:18" x14ac:dyDescent="0.25">
      <c r="A259" t="s">
        <v>566</v>
      </c>
      <c r="B259" t="s">
        <v>567</v>
      </c>
      <c r="C259">
        <v>12</v>
      </c>
      <c r="D259" t="s">
        <v>37</v>
      </c>
      <c r="E259" t="s">
        <v>54</v>
      </c>
      <c r="F259" t="s">
        <v>75</v>
      </c>
      <c r="G259" t="s">
        <v>80</v>
      </c>
      <c r="H259" s="1">
        <v>45430</v>
      </c>
      <c r="I259" s="1">
        <v>45442</v>
      </c>
      <c r="J259" t="s">
        <v>40</v>
      </c>
      <c r="K259">
        <v>18</v>
      </c>
      <c r="L259">
        <v>52406</v>
      </c>
      <c r="M259">
        <v>7953</v>
      </c>
      <c r="N259">
        <v>29932</v>
      </c>
      <c r="O259">
        <v>115049</v>
      </c>
      <c r="P259" t="s">
        <v>25</v>
      </c>
      <c r="Q259" t="s">
        <v>58</v>
      </c>
      <c r="R259" t="s">
        <v>27</v>
      </c>
    </row>
    <row r="260" spans="1:18" x14ac:dyDescent="0.25">
      <c r="A260" t="s">
        <v>568</v>
      </c>
      <c r="B260" t="s">
        <v>569</v>
      </c>
      <c r="C260">
        <v>69</v>
      </c>
      <c r="D260" t="s">
        <v>20</v>
      </c>
      <c r="E260" t="s">
        <v>69</v>
      </c>
      <c r="F260" t="s">
        <v>38</v>
      </c>
      <c r="G260" t="s">
        <v>80</v>
      </c>
      <c r="H260" s="1">
        <v>45502</v>
      </c>
      <c r="I260" s="1">
        <v>45565</v>
      </c>
      <c r="J260" t="s">
        <v>57</v>
      </c>
      <c r="K260">
        <v>19</v>
      </c>
      <c r="L260">
        <v>68059</v>
      </c>
      <c r="M260">
        <v>33093</v>
      </c>
      <c r="N260">
        <v>11954</v>
      </c>
      <c r="O260">
        <v>190574</v>
      </c>
      <c r="P260" t="s">
        <v>25</v>
      </c>
      <c r="Q260" t="s">
        <v>33</v>
      </c>
      <c r="R260" t="s">
        <v>42</v>
      </c>
    </row>
    <row r="261" spans="1:18" x14ac:dyDescent="0.25">
      <c r="A261" t="s">
        <v>570</v>
      </c>
      <c r="B261" t="s">
        <v>571</v>
      </c>
      <c r="C261">
        <v>37</v>
      </c>
      <c r="D261" t="s">
        <v>37</v>
      </c>
      <c r="E261" t="s">
        <v>45</v>
      </c>
      <c r="F261" t="s">
        <v>22</v>
      </c>
      <c r="G261" t="s">
        <v>80</v>
      </c>
      <c r="H261" s="1">
        <v>45319</v>
      </c>
      <c r="I261" s="1">
        <v>45617</v>
      </c>
      <c r="J261" t="s">
        <v>40</v>
      </c>
      <c r="K261">
        <v>6</v>
      </c>
      <c r="L261">
        <v>152026</v>
      </c>
      <c r="M261">
        <v>26500</v>
      </c>
      <c r="N261">
        <v>16349</v>
      </c>
      <c r="O261">
        <v>37092</v>
      </c>
      <c r="P261" t="s">
        <v>41</v>
      </c>
      <c r="Q261" t="s">
        <v>87</v>
      </c>
      <c r="R261" t="s">
        <v>34</v>
      </c>
    </row>
    <row r="262" spans="1:18" x14ac:dyDescent="0.25">
      <c r="A262" t="s">
        <v>572</v>
      </c>
      <c r="B262" t="s">
        <v>573</v>
      </c>
      <c r="C262">
        <v>32</v>
      </c>
      <c r="D262" t="s">
        <v>37</v>
      </c>
      <c r="E262" t="s">
        <v>54</v>
      </c>
      <c r="F262" t="s">
        <v>46</v>
      </c>
      <c r="G262" t="s">
        <v>23</v>
      </c>
      <c r="H262" s="1">
        <v>45342</v>
      </c>
      <c r="I262" s="1">
        <v>45400</v>
      </c>
      <c r="J262" t="s">
        <v>32</v>
      </c>
      <c r="K262">
        <v>18</v>
      </c>
      <c r="L262">
        <v>87722</v>
      </c>
      <c r="M262">
        <v>23418</v>
      </c>
      <c r="N262">
        <v>7337</v>
      </c>
      <c r="O262">
        <v>156725</v>
      </c>
      <c r="P262" t="s">
        <v>63</v>
      </c>
      <c r="Q262" t="s">
        <v>58</v>
      </c>
      <c r="R262" t="s">
        <v>70</v>
      </c>
    </row>
    <row r="263" spans="1:18" x14ac:dyDescent="0.25">
      <c r="A263" t="s">
        <v>574</v>
      </c>
      <c r="B263" t="s">
        <v>575</v>
      </c>
      <c r="C263">
        <v>9</v>
      </c>
      <c r="D263" t="s">
        <v>37</v>
      </c>
      <c r="E263" t="s">
        <v>69</v>
      </c>
      <c r="F263" t="s">
        <v>46</v>
      </c>
      <c r="G263" t="s">
        <v>23</v>
      </c>
      <c r="H263" s="1">
        <v>45552</v>
      </c>
      <c r="I263" s="1">
        <v>45431</v>
      </c>
      <c r="J263" t="s">
        <v>32</v>
      </c>
      <c r="K263">
        <v>6</v>
      </c>
      <c r="L263">
        <v>17356</v>
      </c>
      <c r="M263">
        <v>35314</v>
      </c>
      <c r="N263">
        <v>1949</v>
      </c>
      <c r="O263">
        <v>237071</v>
      </c>
      <c r="P263" t="s">
        <v>25</v>
      </c>
      <c r="Q263" t="s">
        <v>26</v>
      </c>
      <c r="R263" t="s">
        <v>42</v>
      </c>
    </row>
    <row r="264" spans="1:18" x14ac:dyDescent="0.25">
      <c r="A264" t="s">
        <v>576</v>
      </c>
      <c r="B264" t="s">
        <v>577</v>
      </c>
      <c r="C264">
        <v>19</v>
      </c>
      <c r="D264" t="s">
        <v>20</v>
      </c>
      <c r="E264" t="s">
        <v>30</v>
      </c>
      <c r="F264" t="s">
        <v>75</v>
      </c>
      <c r="G264" t="s">
        <v>23</v>
      </c>
      <c r="H264" s="1">
        <v>45552</v>
      </c>
      <c r="I264" s="1">
        <v>45642</v>
      </c>
      <c r="J264" t="s">
        <v>40</v>
      </c>
      <c r="K264">
        <v>4</v>
      </c>
      <c r="L264">
        <v>133128</v>
      </c>
      <c r="M264">
        <v>49225</v>
      </c>
      <c r="N264">
        <v>21384</v>
      </c>
      <c r="O264">
        <v>238636</v>
      </c>
      <c r="P264" t="s">
        <v>25</v>
      </c>
      <c r="Q264" t="s">
        <v>47</v>
      </c>
      <c r="R264" t="s">
        <v>70</v>
      </c>
    </row>
    <row r="265" spans="1:18" x14ac:dyDescent="0.25">
      <c r="A265" t="s">
        <v>578</v>
      </c>
      <c r="B265" t="s">
        <v>579</v>
      </c>
      <c r="C265">
        <v>48</v>
      </c>
      <c r="D265" t="s">
        <v>20</v>
      </c>
      <c r="E265" t="s">
        <v>21</v>
      </c>
      <c r="F265" t="s">
        <v>22</v>
      </c>
      <c r="G265" t="s">
        <v>23</v>
      </c>
      <c r="H265" s="1">
        <v>45641</v>
      </c>
      <c r="I265" s="1">
        <v>45563</v>
      </c>
      <c r="J265" t="s">
        <v>57</v>
      </c>
      <c r="K265">
        <v>12</v>
      </c>
      <c r="L265">
        <v>7187</v>
      </c>
      <c r="M265">
        <v>23449</v>
      </c>
      <c r="N265">
        <v>5954</v>
      </c>
      <c r="O265">
        <v>179541</v>
      </c>
      <c r="P265" t="s">
        <v>51</v>
      </c>
      <c r="Q265" t="s">
        <v>33</v>
      </c>
      <c r="R265" t="s">
        <v>70</v>
      </c>
    </row>
    <row r="266" spans="1:18" x14ac:dyDescent="0.25">
      <c r="A266" t="s">
        <v>580</v>
      </c>
      <c r="B266" t="s">
        <v>581</v>
      </c>
      <c r="C266">
        <v>80</v>
      </c>
      <c r="D266" t="s">
        <v>20</v>
      </c>
      <c r="E266" t="s">
        <v>50</v>
      </c>
      <c r="F266" t="s">
        <v>31</v>
      </c>
      <c r="G266" t="s">
        <v>23</v>
      </c>
      <c r="H266" s="1">
        <v>45643</v>
      </c>
      <c r="I266" s="1">
        <v>45639</v>
      </c>
      <c r="J266" t="s">
        <v>24</v>
      </c>
      <c r="K266">
        <v>19</v>
      </c>
      <c r="L266">
        <v>82243</v>
      </c>
      <c r="M266">
        <v>18478</v>
      </c>
      <c r="N266">
        <v>9924</v>
      </c>
      <c r="O266">
        <v>94483</v>
      </c>
      <c r="P266" t="s">
        <v>63</v>
      </c>
      <c r="Q266" t="s">
        <v>26</v>
      </c>
      <c r="R266" t="s">
        <v>70</v>
      </c>
    </row>
    <row r="267" spans="1:18" x14ac:dyDescent="0.25">
      <c r="A267" t="s">
        <v>582</v>
      </c>
      <c r="B267" t="s">
        <v>583</v>
      </c>
      <c r="C267">
        <v>3</v>
      </c>
      <c r="D267" t="s">
        <v>20</v>
      </c>
      <c r="E267" t="s">
        <v>30</v>
      </c>
      <c r="F267" t="s">
        <v>22</v>
      </c>
      <c r="G267" t="s">
        <v>39</v>
      </c>
      <c r="H267" s="1">
        <v>45299</v>
      </c>
      <c r="I267" s="1">
        <v>45581</v>
      </c>
      <c r="J267" t="s">
        <v>57</v>
      </c>
      <c r="K267">
        <v>2</v>
      </c>
      <c r="L267">
        <v>40098</v>
      </c>
      <c r="M267">
        <v>36179</v>
      </c>
      <c r="N267">
        <v>4617</v>
      </c>
      <c r="O267">
        <v>129585</v>
      </c>
      <c r="P267" t="s">
        <v>51</v>
      </c>
      <c r="Q267" t="s">
        <v>87</v>
      </c>
      <c r="R267" t="s">
        <v>42</v>
      </c>
    </row>
    <row r="268" spans="1:18" x14ac:dyDescent="0.25">
      <c r="A268" t="s">
        <v>584</v>
      </c>
      <c r="B268" t="s">
        <v>585</v>
      </c>
      <c r="C268">
        <v>20</v>
      </c>
      <c r="D268" t="s">
        <v>20</v>
      </c>
      <c r="E268" t="s">
        <v>69</v>
      </c>
      <c r="F268" t="s">
        <v>31</v>
      </c>
      <c r="G268" t="s">
        <v>80</v>
      </c>
      <c r="H268" s="1">
        <v>45611</v>
      </c>
      <c r="I268" s="1">
        <v>45504</v>
      </c>
      <c r="J268" t="s">
        <v>24</v>
      </c>
      <c r="K268">
        <v>17</v>
      </c>
      <c r="L268">
        <v>157297</v>
      </c>
      <c r="M268">
        <v>47881</v>
      </c>
      <c r="N268">
        <v>9369</v>
      </c>
      <c r="O268">
        <v>67754</v>
      </c>
      <c r="P268" t="s">
        <v>51</v>
      </c>
      <c r="Q268" t="s">
        <v>47</v>
      </c>
      <c r="R268" t="s">
        <v>42</v>
      </c>
    </row>
    <row r="269" spans="1:18" x14ac:dyDescent="0.25">
      <c r="A269" t="s">
        <v>586</v>
      </c>
      <c r="B269" t="s">
        <v>587</v>
      </c>
      <c r="C269">
        <v>24</v>
      </c>
      <c r="D269" t="s">
        <v>37</v>
      </c>
      <c r="E269" t="s">
        <v>30</v>
      </c>
      <c r="F269" t="s">
        <v>22</v>
      </c>
      <c r="G269" t="s">
        <v>80</v>
      </c>
      <c r="H269" s="1">
        <v>45429</v>
      </c>
      <c r="I269" s="1">
        <v>45564</v>
      </c>
      <c r="J269" t="s">
        <v>32</v>
      </c>
      <c r="K269">
        <v>11</v>
      </c>
      <c r="L269">
        <v>139678</v>
      </c>
      <c r="M269">
        <v>26338</v>
      </c>
      <c r="N269">
        <v>11350</v>
      </c>
      <c r="O269">
        <v>169050</v>
      </c>
      <c r="P269" t="s">
        <v>63</v>
      </c>
      <c r="Q269" t="s">
        <v>26</v>
      </c>
      <c r="R269" t="s">
        <v>70</v>
      </c>
    </row>
    <row r="270" spans="1:18" x14ac:dyDescent="0.25">
      <c r="A270" t="s">
        <v>588</v>
      </c>
      <c r="B270" t="s">
        <v>589</v>
      </c>
      <c r="C270">
        <v>54</v>
      </c>
      <c r="D270" t="s">
        <v>37</v>
      </c>
      <c r="E270" t="s">
        <v>21</v>
      </c>
      <c r="F270" t="s">
        <v>22</v>
      </c>
      <c r="G270" t="s">
        <v>80</v>
      </c>
      <c r="H270" s="1">
        <v>45329</v>
      </c>
      <c r="I270" s="1">
        <v>45358</v>
      </c>
      <c r="J270" t="s">
        <v>57</v>
      </c>
      <c r="K270">
        <v>11</v>
      </c>
      <c r="L270">
        <v>62620</v>
      </c>
      <c r="M270">
        <v>27899</v>
      </c>
      <c r="N270">
        <v>18912</v>
      </c>
      <c r="O270">
        <v>95592</v>
      </c>
      <c r="P270" t="s">
        <v>63</v>
      </c>
      <c r="Q270" t="s">
        <v>47</v>
      </c>
      <c r="R270" t="s">
        <v>34</v>
      </c>
    </row>
    <row r="271" spans="1:18" x14ac:dyDescent="0.25">
      <c r="A271" t="s">
        <v>590</v>
      </c>
      <c r="B271" t="s">
        <v>591</v>
      </c>
      <c r="C271">
        <v>33</v>
      </c>
      <c r="D271" t="s">
        <v>37</v>
      </c>
      <c r="E271" t="s">
        <v>69</v>
      </c>
      <c r="F271" t="s">
        <v>66</v>
      </c>
      <c r="G271" t="s">
        <v>80</v>
      </c>
      <c r="H271" s="1">
        <v>45402</v>
      </c>
      <c r="I271" s="1">
        <v>45540</v>
      </c>
      <c r="J271" t="s">
        <v>24</v>
      </c>
      <c r="K271">
        <v>16</v>
      </c>
      <c r="L271">
        <v>168900</v>
      </c>
      <c r="M271">
        <v>5145</v>
      </c>
      <c r="N271">
        <v>14843</v>
      </c>
      <c r="O271">
        <v>102543</v>
      </c>
      <c r="P271" t="s">
        <v>41</v>
      </c>
      <c r="Q271" t="s">
        <v>33</v>
      </c>
      <c r="R271" t="s">
        <v>70</v>
      </c>
    </row>
    <row r="272" spans="1:18" x14ac:dyDescent="0.25">
      <c r="A272" t="s">
        <v>592</v>
      </c>
      <c r="B272" t="s">
        <v>593</v>
      </c>
      <c r="C272">
        <v>24</v>
      </c>
      <c r="D272" t="s">
        <v>37</v>
      </c>
      <c r="E272" t="s">
        <v>30</v>
      </c>
      <c r="F272" t="s">
        <v>46</v>
      </c>
      <c r="G272" t="s">
        <v>80</v>
      </c>
      <c r="H272" s="1">
        <v>45511</v>
      </c>
      <c r="I272" s="1">
        <v>45448</v>
      </c>
      <c r="J272" t="s">
        <v>40</v>
      </c>
      <c r="K272">
        <v>2</v>
      </c>
      <c r="L272">
        <v>131270</v>
      </c>
      <c r="M272">
        <v>33101</v>
      </c>
      <c r="N272">
        <v>7345</v>
      </c>
      <c r="O272">
        <v>51169</v>
      </c>
      <c r="P272" t="s">
        <v>63</v>
      </c>
      <c r="Q272" t="s">
        <v>87</v>
      </c>
      <c r="R272" t="s">
        <v>34</v>
      </c>
    </row>
    <row r="273" spans="1:18" x14ac:dyDescent="0.25">
      <c r="A273" t="s">
        <v>594</v>
      </c>
      <c r="B273" t="s">
        <v>595</v>
      </c>
      <c r="C273">
        <v>75</v>
      </c>
      <c r="D273" t="s">
        <v>20</v>
      </c>
      <c r="E273" t="s">
        <v>50</v>
      </c>
      <c r="F273" t="s">
        <v>22</v>
      </c>
      <c r="G273" t="s">
        <v>80</v>
      </c>
      <c r="H273" s="1">
        <v>45628</v>
      </c>
      <c r="I273" s="1">
        <v>45339</v>
      </c>
      <c r="J273" t="s">
        <v>32</v>
      </c>
      <c r="K273">
        <v>2</v>
      </c>
      <c r="L273">
        <v>162561</v>
      </c>
      <c r="M273">
        <v>3775</v>
      </c>
      <c r="N273">
        <v>20642</v>
      </c>
      <c r="O273">
        <v>187359</v>
      </c>
      <c r="P273" t="s">
        <v>25</v>
      </c>
      <c r="Q273" t="s">
        <v>47</v>
      </c>
      <c r="R273" t="s">
        <v>70</v>
      </c>
    </row>
    <row r="274" spans="1:18" x14ac:dyDescent="0.25">
      <c r="A274" t="s">
        <v>596</v>
      </c>
      <c r="B274" t="s">
        <v>597</v>
      </c>
      <c r="C274">
        <v>72</v>
      </c>
      <c r="D274" t="s">
        <v>37</v>
      </c>
      <c r="E274" t="s">
        <v>50</v>
      </c>
      <c r="F274" t="s">
        <v>75</v>
      </c>
      <c r="G274" t="s">
        <v>80</v>
      </c>
      <c r="H274" s="1">
        <v>45514</v>
      </c>
      <c r="I274" s="1">
        <v>45493</v>
      </c>
      <c r="J274" t="s">
        <v>40</v>
      </c>
      <c r="K274">
        <v>8</v>
      </c>
      <c r="L274">
        <v>19387</v>
      </c>
      <c r="M274">
        <v>46961</v>
      </c>
      <c r="N274">
        <v>22788</v>
      </c>
      <c r="O274">
        <v>62745</v>
      </c>
      <c r="P274" t="s">
        <v>63</v>
      </c>
      <c r="Q274" t="s">
        <v>26</v>
      </c>
      <c r="R274" t="s">
        <v>27</v>
      </c>
    </row>
    <row r="275" spans="1:18" x14ac:dyDescent="0.25">
      <c r="A275" t="s">
        <v>598</v>
      </c>
      <c r="B275" t="s">
        <v>599</v>
      </c>
      <c r="C275">
        <v>36</v>
      </c>
      <c r="D275" t="s">
        <v>20</v>
      </c>
      <c r="E275" t="s">
        <v>54</v>
      </c>
      <c r="F275" t="s">
        <v>22</v>
      </c>
      <c r="G275" t="s">
        <v>80</v>
      </c>
      <c r="H275" s="1">
        <v>45427</v>
      </c>
      <c r="I275" s="1">
        <v>45440</v>
      </c>
      <c r="J275" t="s">
        <v>32</v>
      </c>
      <c r="K275">
        <v>13</v>
      </c>
      <c r="L275">
        <v>74463</v>
      </c>
      <c r="M275">
        <v>32647</v>
      </c>
      <c r="N275">
        <v>5124</v>
      </c>
      <c r="O275">
        <v>118168</v>
      </c>
      <c r="P275" t="s">
        <v>41</v>
      </c>
      <c r="Q275" t="s">
        <v>33</v>
      </c>
      <c r="R275" t="s">
        <v>70</v>
      </c>
    </row>
    <row r="276" spans="1:18" x14ac:dyDescent="0.25">
      <c r="A276" t="s">
        <v>600</v>
      </c>
      <c r="B276" t="s">
        <v>601</v>
      </c>
      <c r="C276">
        <v>38</v>
      </c>
      <c r="D276" t="s">
        <v>37</v>
      </c>
      <c r="E276" t="s">
        <v>30</v>
      </c>
      <c r="F276" t="s">
        <v>38</v>
      </c>
      <c r="G276" t="s">
        <v>39</v>
      </c>
      <c r="H276" s="1">
        <v>45547</v>
      </c>
      <c r="I276" s="1">
        <v>45416</v>
      </c>
      <c r="J276" t="s">
        <v>57</v>
      </c>
      <c r="K276">
        <v>10</v>
      </c>
      <c r="L276">
        <v>138663</v>
      </c>
      <c r="M276">
        <v>46619</v>
      </c>
      <c r="N276">
        <v>27113</v>
      </c>
      <c r="O276">
        <v>121985</v>
      </c>
      <c r="P276" t="s">
        <v>41</v>
      </c>
      <c r="Q276" t="s">
        <v>33</v>
      </c>
      <c r="R276" t="s">
        <v>70</v>
      </c>
    </row>
    <row r="277" spans="1:18" x14ac:dyDescent="0.25">
      <c r="A277" t="s">
        <v>602</v>
      </c>
      <c r="B277" t="s">
        <v>603</v>
      </c>
      <c r="C277">
        <v>84</v>
      </c>
      <c r="D277" t="s">
        <v>20</v>
      </c>
      <c r="E277" t="s">
        <v>45</v>
      </c>
      <c r="F277" t="s">
        <v>46</v>
      </c>
      <c r="G277" t="s">
        <v>80</v>
      </c>
      <c r="H277" s="1">
        <v>45651</v>
      </c>
      <c r="I277" s="1">
        <v>45293</v>
      </c>
      <c r="J277" t="s">
        <v>57</v>
      </c>
      <c r="K277">
        <v>8</v>
      </c>
      <c r="L277">
        <v>184588</v>
      </c>
      <c r="M277">
        <v>46838</v>
      </c>
      <c r="N277">
        <v>27725</v>
      </c>
      <c r="O277">
        <v>13543</v>
      </c>
      <c r="P277" t="s">
        <v>41</v>
      </c>
      <c r="Q277" t="s">
        <v>26</v>
      </c>
      <c r="R277" t="s">
        <v>42</v>
      </c>
    </row>
    <row r="278" spans="1:18" x14ac:dyDescent="0.25">
      <c r="A278" t="s">
        <v>604</v>
      </c>
      <c r="B278" t="s">
        <v>605</v>
      </c>
      <c r="C278">
        <v>89</v>
      </c>
      <c r="D278" t="s">
        <v>20</v>
      </c>
      <c r="E278" t="s">
        <v>30</v>
      </c>
      <c r="F278" t="s">
        <v>38</v>
      </c>
      <c r="G278" t="s">
        <v>39</v>
      </c>
      <c r="H278" s="1">
        <v>45620</v>
      </c>
      <c r="I278" s="1">
        <v>45539</v>
      </c>
      <c r="J278" t="s">
        <v>32</v>
      </c>
      <c r="K278">
        <v>4</v>
      </c>
      <c r="L278">
        <v>96683</v>
      </c>
      <c r="M278">
        <v>20539</v>
      </c>
      <c r="N278">
        <v>9348</v>
      </c>
      <c r="O278">
        <v>195464</v>
      </c>
      <c r="P278" t="s">
        <v>63</v>
      </c>
      <c r="Q278" t="s">
        <v>26</v>
      </c>
      <c r="R278" t="s">
        <v>34</v>
      </c>
    </row>
    <row r="279" spans="1:18" x14ac:dyDescent="0.25">
      <c r="A279" t="s">
        <v>606</v>
      </c>
      <c r="B279" t="s">
        <v>607</v>
      </c>
      <c r="C279">
        <v>25</v>
      </c>
      <c r="D279" t="s">
        <v>37</v>
      </c>
      <c r="E279" t="s">
        <v>69</v>
      </c>
      <c r="F279" t="s">
        <v>46</v>
      </c>
      <c r="G279" t="s">
        <v>23</v>
      </c>
      <c r="H279" s="1">
        <v>45340</v>
      </c>
      <c r="I279" s="1">
        <v>45635</v>
      </c>
      <c r="J279" t="s">
        <v>32</v>
      </c>
      <c r="K279">
        <v>15</v>
      </c>
      <c r="L279">
        <v>67061</v>
      </c>
      <c r="M279">
        <v>37738</v>
      </c>
      <c r="N279">
        <v>17049</v>
      </c>
      <c r="O279">
        <v>29067</v>
      </c>
      <c r="P279" t="s">
        <v>63</v>
      </c>
      <c r="Q279" t="s">
        <v>47</v>
      </c>
      <c r="R279" t="s">
        <v>27</v>
      </c>
    </row>
    <row r="280" spans="1:18" x14ac:dyDescent="0.25">
      <c r="A280" t="s">
        <v>608</v>
      </c>
      <c r="B280" t="s">
        <v>609</v>
      </c>
      <c r="C280">
        <v>18</v>
      </c>
      <c r="D280" t="s">
        <v>37</v>
      </c>
      <c r="E280" t="s">
        <v>69</v>
      </c>
      <c r="F280" t="s">
        <v>38</v>
      </c>
      <c r="G280" t="s">
        <v>80</v>
      </c>
      <c r="H280" s="1">
        <v>45583</v>
      </c>
      <c r="I280" s="1">
        <v>45420</v>
      </c>
      <c r="J280" t="s">
        <v>32</v>
      </c>
      <c r="K280">
        <v>1</v>
      </c>
      <c r="L280">
        <v>86257</v>
      </c>
      <c r="M280">
        <v>27616</v>
      </c>
      <c r="N280">
        <v>13636</v>
      </c>
      <c r="O280">
        <v>59033</v>
      </c>
      <c r="P280" t="s">
        <v>51</v>
      </c>
      <c r="Q280" t="s">
        <v>58</v>
      </c>
      <c r="R280" t="s">
        <v>34</v>
      </c>
    </row>
    <row r="281" spans="1:18" x14ac:dyDescent="0.25">
      <c r="A281" t="s">
        <v>610</v>
      </c>
      <c r="B281" t="s">
        <v>611</v>
      </c>
      <c r="C281">
        <v>82</v>
      </c>
      <c r="D281" t="s">
        <v>37</v>
      </c>
      <c r="E281" t="s">
        <v>30</v>
      </c>
      <c r="F281" t="s">
        <v>22</v>
      </c>
      <c r="G281" t="s">
        <v>23</v>
      </c>
      <c r="H281" s="1">
        <v>45615</v>
      </c>
      <c r="I281" s="1">
        <v>45483</v>
      </c>
      <c r="J281" t="s">
        <v>57</v>
      </c>
      <c r="K281">
        <v>11</v>
      </c>
      <c r="L281">
        <v>66753</v>
      </c>
      <c r="M281">
        <v>15119</v>
      </c>
      <c r="N281">
        <v>21475</v>
      </c>
      <c r="O281">
        <v>53256</v>
      </c>
      <c r="P281" t="s">
        <v>51</v>
      </c>
      <c r="Q281" t="s">
        <v>33</v>
      </c>
      <c r="R281" t="s">
        <v>27</v>
      </c>
    </row>
    <row r="282" spans="1:18" x14ac:dyDescent="0.25">
      <c r="A282" t="s">
        <v>612</v>
      </c>
      <c r="B282" t="s">
        <v>613</v>
      </c>
      <c r="C282">
        <v>66</v>
      </c>
      <c r="D282" t="s">
        <v>37</v>
      </c>
      <c r="E282" t="s">
        <v>21</v>
      </c>
      <c r="F282" t="s">
        <v>22</v>
      </c>
      <c r="G282" t="s">
        <v>23</v>
      </c>
      <c r="H282" s="1">
        <v>45369</v>
      </c>
      <c r="I282" s="1">
        <v>45359</v>
      </c>
      <c r="J282" t="s">
        <v>24</v>
      </c>
      <c r="K282">
        <v>7</v>
      </c>
      <c r="L282">
        <v>89774</v>
      </c>
      <c r="M282">
        <v>26159</v>
      </c>
      <c r="N282">
        <v>1089</v>
      </c>
      <c r="O282">
        <v>229705</v>
      </c>
      <c r="P282" t="s">
        <v>25</v>
      </c>
      <c r="Q282" t="s">
        <v>47</v>
      </c>
      <c r="R282" t="s">
        <v>70</v>
      </c>
    </row>
    <row r="283" spans="1:18" x14ac:dyDescent="0.25">
      <c r="A283" t="s">
        <v>614</v>
      </c>
      <c r="B283" t="s">
        <v>615</v>
      </c>
      <c r="C283">
        <v>54</v>
      </c>
      <c r="D283" t="s">
        <v>20</v>
      </c>
      <c r="E283" t="s">
        <v>50</v>
      </c>
      <c r="F283" t="s">
        <v>66</v>
      </c>
      <c r="G283" t="s">
        <v>23</v>
      </c>
      <c r="H283" s="1">
        <v>45396</v>
      </c>
      <c r="I283" s="1">
        <v>45296</v>
      </c>
      <c r="J283" t="s">
        <v>40</v>
      </c>
      <c r="K283">
        <v>17</v>
      </c>
      <c r="L283">
        <v>147159</v>
      </c>
      <c r="M283">
        <v>38099</v>
      </c>
      <c r="N283">
        <v>21408</v>
      </c>
      <c r="O283">
        <v>247455</v>
      </c>
      <c r="P283" t="s">
        <v>51</v>
      </c>
      <c r="Q283" t="s">
        <v>26</v>
      </c>
      <c r="R283" t="s">
        <v>42</v>
      </c>
    </row>
    <row r="284" spans="1:18" x14ac:dyDescent="0.25">
      <c r="A284" t="s">
        <v>616</v>
      </c>
      <c r="B284" t="s">
        <v>617</v>
      </c>
      <c r="C284">
        <v>35</v>
      </c>
      <c r="D284" t="s">
        <v>37</v>
      </c>
      <c r="E284" t="s">
        <v>69</v>
      </c>
      <c r="F284" t="s">
        <v>75</v>
      </c>
      <c r="G284" t="s">
        <v>39</v>
      </c>
      <c r="H284" s="1">
        <v>45460</v>
      </c>
      <c r="I284" s="1">
        <v>45595</v>
      </c>
      <c r="J284" t="s">
        <v>40</v>
      </c>
      <c r="K284">
        <v>18</v>
      </c>
      <c r="L284">
        <v>166888</v>
      </c>
      <c r="M284">
        <v>11295</v>
      </c>
      <c r="N284">
        <v>19705</v>
      </c>
      <c r="O284">
        <v>248120</v>
      </c>
      <c r="P284" t="s">
        <v>25</v>
      </c>
      <c r="Q284" t="s">
        <v>47</v>
      </c>
      <c r="R284" t="s">
        <v>42</v>
      </c>
    </row>
    <row r="285" spans="1:18" x14ac:dyDescent="0.25">
      <c r="A285" t="s">
        <v>618</v>
      </c>
      <c r="B285" t="s">
        <v>619</v>
      </c>
      <c r="C285">
        <v>80</v>
      </c>
      <c r="D285" t="s">
        <v>37</v>
      </c>
      <c r="E285" t="s">
        <v>50</v>
      </c>
      <c r="F285" t="s">
        <v>38</v>
      </c>
      <c r="G285" t="s">
        <v>23</v>
      </c>
      <c r="H285" s="1">
        <v>45508</v>
      </c>
      <c r="I285" s="1">
        <v>45586</v>
      </c>
      <c r="J285" t="s">
        <v>57</v>
      </c>
      <c r="K285">
        <v>12</v>
      </c>
      <c r="L285">
        <v>28408</v>
      </c>
      <c r="M285">
        <v>35710</v>
      </c>
      <c r="N285">
        <v>29334</v>
      </c>
      <c r="O285">
        <v>208417</v>
      </c>
      <c r="P285" t="s">
        <v>41</v>
      </c>
      <c r="Q285" t="s">
        <v>26</v>
      </c>
      <c r="R285" t="s">
        <v>34</v>
      </c>
    </row>
    <row r="286" spans="1:18" x14ac:dyDescent="0.25">
      <c r="A286" t="s">
        <v>620</v>
      </c>
      <c r="B286" t="s">
        <v>621</v>
      </c>
      <c r="C286">
        <v>61</v>
      </c>
      <c r="D286" t="s">
        <v>20</v>
      </c>
      <c r="E286" t="s">
        <v>69</v>
      </c>
      <c r="F286" t="s">
        <v>31</v>
      </c>
      <c r="G286" t="s">
        <v>23</v>
      </c>
      <c r="H286" s="1">
        <v>45410</v>
      </c>
      <c r="I286" s="1">
        <v>45435</v>
      </c>
      <c r="J286" t="s">
        <v>40</v>
      </c>
      <c r="K286">
        <v>9</v>
      </c>
      <c r="L286">
        <v>129116</v>
      </c>
      <c r="M286">
        <v>25685</v>
      </c>
      <c r="N286">
        <v>7009</v>
      </c>
      <c r="O286">
        <v>161263</v>
      </c>
      <c r="P286" t="s">
        <v>51</v>
      </c>
      <c r="Q286" t="s">
        <v>87</v>
      </c>
      <c r="R286" t="s">
        <v>42</v>
      </c>
    </row>
    <row r="287" spans="1:18" x14ac:dyDescent="0.25">
      <c r="A287" t="s">
        <v>622</v>
      </c>
      <c r="B287" t="s">
        <v>623</v>
      </c>
      <c r="C287">
        <v>41</v>
      </c>
      <c r="D287" t="s">
        <v>37</v>
      </c>
      <c r="E287" t="s">
        <v>54</v>
      </c>
      <c r="F287" t="s">
        <v>66</v>
      </c>
      <c r="G287" t="s">
        <v>23</v>
      </c>
      <c r="H287" s="1">
        <v>45481</v>
      </c>
      <c r="I287" s="1">
        <v>45483</v>
      </c>
      <c r="J287" t="s">
        <v>32</v>
      </c>
      <c r="K287">
        <v>5</v>
      </c>
      <c r="L287">
        <v>136208</v>
      </c>
      <c r="M287">
        <v>26479</v>
      </c>
      <c r="N287">
        <v>8193</v>
      </c>
      <c r="O287">
        <v>94803</v>
      </c>
      <c r="P287" t="s">
        <v>63</v>
      </c>
      <c r="Q287" t="s">
        <v>26</v>
      </c>
      <c r="R287" t="s">
        <v>34</v>
      </c>
    </row>
    <row r="288" spans="1:18" x14ac:dyDescent="0.25">
      <c r="A288" t="s">
        <v>624</v>
      </c>
      <c r="B288" t="s">
        <v>625</v>
      </c>
      <c r="C288">
        <v>33</v>
      </c>
      <c r="D288" t="s">
        <v>37</v>
      </c>
      <c r="E288" t="s">
        <v>45</v>
      </c>
      <c r="F288" t="s">
        <v>38</v>
      </c>
      <c r="G288" t="s">
        <v>80</v>
      </c>
      <c r="H288" s="1">
        <v>45546</v>
      </c>
      <c r="I288" s="1">
        <v>45313</v>
      </c>
      <c r="J288" t="s">
        <v>24</v>
      </c>
      <c r="K288">
        <v>10</v>
      </c>
      <c r="L288">
        <v>22413</v>
      </c>
      <c r="M288">
        <v>47172</v>
      </c>
      <c r="N288">
        <v>9954</v>
      </c>
      <c r="O288">
        <v>211814</v>
      </c>
      <c r="P288" t="s">
        <v>51</v>
      </c>
      <c r="Q288" t="s">
        <v>26</v>
      </c>
      <c r="R288" t="s">
        <v>34</v>
      </c>
    </row>
    <row r="289" spans="1:18" x14ac:dyDescent="0.25">
      <c r="A289" t="s">
        <v>626</v>
      </c>
      <c r="B289" t="s">
        <v>627</v>
      </c>
      <c r="C289">
        <v>68</v>
      </c>
      <c r="D289" t="s">
        <v>37</v>
      </c>
      <c r="E289" t="s">
        <v>69</v>
      </c>
      <c r="F289" t="s">
        <v>38</v>
      </c>
      <c r="G289" t="s">
        <v>80</v>
      </c>
      <c r="H289" s="1">
        <v>45557</v>
      </c>
      <c r="I289" s="1">
        <v>45519</v>
      </c>
      <c r="J289" t="s">
        <v>40</v>
      </c>
      <c r="K289">
        <v>4</v>
      </c>
      <c r="L289">
        <v>118650</v>
      </c>
      <c r="M289">
        <v>34629</v>
      </c>
      <c r="N289">
        <v>16955</v>
      </c>
      <c r="O289">
        <v>126843</v>
      </c>
      <c r="P289" t="s">
        <v>25</v>
      </c>
      <c r="Q289" t="s">
        <v>26</v>
      </c>
      <c r="R289" t="s">
        <v>27</v>
      </c>
    </row>
    <row r="290" spans="1:18" x14ac:dyDescent="0.25">
      <c r="A290" t="s">
        <v>628</v>
      </c>
      <c r="B290" t="s">
        <v>629</v>
      </c>
      <c r="C290">
        <v>33</v>
      </c>
      <c r="D290" t="s">
        <v>37</v>
      </c>
      <c r="E290" t="s">
        <v>50</v>
      </c>
      <c r="F290" t="s">
        <v>66</v>
      </c>
      <c r="G290" t="s">
        <v>39</v>
      </c>
      <c r="H290" s="1">
        <v>45440</v>
      </c>
      <c r="I290" s="1">
        <v>45605</v>
      </c>
      <c r="J290" t="s">
        <v>24</v>
      </c>
      <c r="K290">
        <v>5</v>
      </c>
      <c r="L290">
        <v>64500</v>
      </c>
      <c r="M290">
        <v>43043</v>
      </c>
      <c r="N290">
        <v>12208</v>
      </c>
      <c r="O290">
        <v>225665</v>
      </c>
      <c r="P290" t="s">
        <v>51</v>
      </c>
      <c r="Q290" t="s">
        <v>58</v>
      </c>
      <c r="R290" t="s">
        <v>34</v>
      </c>
    </row>
    <row r="291" spans="1:18" x14ac:dyDescent="0.25">
      <c r="A291" t="s">
        <v>630</v>
      </c>
      <c r="B291" t="s">
        <v>631</v>
      </c>
      <c r="C291">
        <v>14</v>
      </c>
      <c r="D291" t="s">
        <v>37</v>
      </c>
      <c r="E291" t="s">
        <v>54</v>
      </c>
      <c r="F291" t="s">
        <v>22</v>
      </c>
      <c r="G291" t="s">
        <v>39</v>
      </c>
      <c r="H291" s="1">
        <v>45455</v>
      </c>
      <c r="I291" s="1">
        <v>45409</v>
      </c>
      <c r="J291" t="s">
        <v>32</v>
      </c>
      <c r="K291">
        <v>10</v>
      </c>
      <c r="L291">
        <v>89514</v>
      </c>
      <c r="M291">
        <v>18033</v>
      </c>
      <c r="N291">
        <v>13442</v>
      </c>
      <c r="O291">
        <v>36992</v>
      </c>
      <c r="P291" t="s">
        <v>41</v>
      </c>
      <c r="Q291" t="s">
        <v>26</v>
      </c>
      <c r="R291" t="s">
        <v>27</v>
      </c>
    </row>
    <row r="292" spans="1:18" x14ac:dyDescent="0.25">
      <c r="A292" t="s">
        <v>632</v>
      </c>
      <c r="B292" t="s">
        <v>633</v>
      </c>
      <c r="C292">
        <v>21</v>
      </c>
      <c r="D292" t="s">
        <v>20</v>
      </c>
      <c r="E292" t="s">
        <v>69</v>
      </c>
      <c r="F292" t="s">
        <v>38</v>
      </c>
      <c r="G292" t="s">
        <v>80</v>
      </c>
      <c r="H292" s="1">
        <v>45431</v>
      </c>
      <c r="I292" s="1">
        <v>45594</v>
      </c>
      <c r="J292" t="s">
        <v>40</v>
      </c>
      <c r="K292">
        <v>11</v>
      </c>
      <c r="L292">
        <v>61358</v>
      </c>
      <c r="M292">
        <v>37902</v>
      </c>
      <c r="N292">
        <v>20464</v>
      </c>
      <c r="O292">
        <v>220603</v>
      </c>
      <c r="P292" t="s">
        <v>63</v>
      </c>
      <c r="Q292" t="s">
        <v>33</v>
      </c>
      <c r="R292" t="s">
        <v>42</v>
      </c>
    </row>
    <row r="293" spans="1:18" x14ac:dyDescent="0.25">
      <c r="A293" t="s">
        <v>634</v>
      </c>
      <c r="B293" t="s">
        <v>635</v>
      </c>
      <c r="C293">
        <v>48</v>
      </c>
      <c r="D293" t="s">
        <v>37</v>
      </c>
      <c r="E293" t="s">
        <v>21</v>
      </c>
      <c r="F293" t="s">
        <v>22</v>
      </c>
      <c r="G293" t="s">
        <v>39</v>
      </c>
      <c r="H293" s="1">
        <v>45638</v>
      </c>
      <c r="I293" s="1">
        <v>45434</v>
      </c>
      <c r="J293" t="s">
        <v>57</v>
      </c>
      <c r="K293">
        <v>10</v>
      </c>
      <c r="L293">
        <v>71197</v>
      </c>
      <c r="M293">
        <v>45571</v>
      </c>
      <c r="N293">
        <v>24846</v>
      </c>
      <c r="O293">
        <v>56803</v>
      </c>
      <c r="P293" t="s">
        <v>25</v>
      </c>
      <c r="Q293" t="s">
        <v>33</v>
      </c>
      <c r="R293" t="s">
        <v>34</v>
      </c>
    </row>
    <row r="294" spans="1:18" x14ac:dyDescent="0.25">
      <c r="A294" t="s">
        <v>636</v>
      </c>
      <c r="B294" t="s">
        <v>637</v>
      </c>
      <c r="C294">
        <v>20</v>
      </c>
      <c r="D294" t="s">
        <v>37</v>
      </c>
      <c r="E294" t="s">
        <v>45</v>
      </c>
      <c r="F294" t="s">
        <v>66</v>
      </c>
      <c r="G294" t="s">
        <v>80</v>
      </c>
      <c r="H294" s="1">
        <v>45549</v>
      </c>
      <c r="I294" s="1">
        <v>45331</v>
      </c>
      <c r="J294" t="s">
        <v>24</v>
      </c>
      <c r="K294">
        <v>8</v>
      </c>
      <c r="L294">
        <v>168926</v>
      </c>
      <c r="M294">
        <v>16408</v>
      </c>
      <c r="N294">
        <v>17152</v>
      </c>
      <c r="O294">
        <v>117975</v>
      </c>
      <c r="P294" t="s">
        <v>63</v>
      </c>
      <c r="Q294" t="s">
        <v>47</v>
      </c>
      <c r="R294" t="s">
        <v>34</v>
      </c>
    </row>
    <row r="295" spans="1:18" x14ac:dyDescent="0.25">
      <c r="A295" t="s">
        <v>638</v>
      </c>
      <c r="B295" t="s">
        <v>639</v>
      </c>
      <c r="C295">
        <v>8</v>
      </c>
      <c r="D295" t="s">
        <v>37</v>
      </c>
      <c r="E295" t="s">
        <v>69</v>
      </c>
      <c r="F295" t="s">
        <v>22</v>
      </c>
      <c r="G295" t="s">
        <v>23</v>
      </c>
      <c r="H295" s="1">
        <v>45560</v>
      </c>
      <c r="I295" s="1">
        <v>45647</v>
      </c>
      <c r="J295" t="s">
        <v>32</v>
      </c>
      <c r="K295">
        <v>2</v>
      </c>
      <c r="L295">
        <v>81240</v>
      </c>
      <c r="M295">
        <v>18420</v>
      </c>
      <c r="N295">
        <v>10468</v>
      </c>
      <c r="O295">
        <v>202549</v>
      </c>
      <c r="P295" t="s">
        <v>63</v>
      </c>
      <c r="Q295" t="s">
        <v>58</v>
      </c>
      <c r="R295" t="s">
        <v>70</v>
      </c>
    </row>
    <row r="296" spans="1:18" x14ac:dyDescent="0.25">
      <c r="A296" t="s">
        <v>640</v>
      </c>
      <c r="B296" t="s">
        <v>641</v>
      </c>
      <c r="C296">
        <v>7</v>
      </c>
      <c r="D296" t="s">
        <v>37</v>
      </c>
      <c r="E296" t="s">
        <v>54</v>
      </c>
      <c r="F296" t="s">
        <v>46</v>
      </c>
      <c r="G296" t="s">
        <v>23</v>
      </c>
      <c r="H296" s="1">
        <v>45472</v>
      </c>
      <c r="I296" s="1">
        <v>45544</v>
      </c>
      <c r="J296" t="s">
        <v>24</v>
      </c>
      <c r="K296">
        <v>8</v>
      </c>
      <c r="L296">
        <v>21322</v>
      </c>
      <c r="M296">
        <v>17351</v>
      </c>
      <c r="N296">
        <v>2962</v>
      </c>
      <c r="O296">
        <v>152282</v>
      </c>
      <c r="P296" t="s">
        <v>25</v>
      </c>
      <c r="Q296" t="s">
        <v>47</v>
      </c>
      <c r="R296" t="s">
        <v>34</v>
      </c>
    </row>
    <row r="297" spans="1:18" x14ac:dyDescent="0.25">
      <c r="A297" t="s">
        <v>642</v>
      </c>
      <c r="B297" t="s">
        <v>643</v>
      </c>
      <c r="C297">
        <v>67</v>
      </c>
      <c r="D297" t="s">
        <v>37</v>
      </c>
      <c r="E297" t="s">
        <v>21</v>
      </c>
      <c r="F297" t="s">
        <v>31</v>
      </c>
      <c r="G297" t="s">
        <v>39</v>
      </c>
      <c r="H297" s="1">
        <v>45451</v>
      </c>
      <c r="I297" s="1">
        <v>45625</v>
      </c>
      <c r="J297" t="s">
        <v>40</v>
      </c>
      <c r="K297">
        <v>16</v>
      </c>
      <c r="L297">
        <v>118053</v>
      </c>
      <c r="M297">
        <v>5131</v>
      </c>
      <c r="N297">
        <v>9960</v>
      </c>
      <c r="O297">
        <v>222401</v>
      </c>
      <c r="P297" t="s">
        <v>63</v>
      </c>
      <c r="Q297" t="s">
        <v>33</v>
      </c>
      <c r="R297" t="s">
        <v>34</v>
      </c>
    </row>
    <row r="298" spans="1:18" x14ac:dyDescent="0.25">
      <c r="A298" t="s">
        <v>644</v>
      </c>
      <c r="B298" t="s">
        <v>645</v>
      </c>
      <c r="C298">
        <v>17</v>
      </c>
      <c r="D298" t="s">
        <v>20</v>
      </c>
      <c r="E298" t="s">
        <v>30</v>
      </c>
      <c r="F298" t="s">
        <v>38</v>
      </c>
      <c r="G298" t="s">
        <v>80</v>
      </c>
      <c r="H298" s="1">
        <v>45642</v>
      </c>
      <c r="I298" s="1">
        <v>45499</v>
      </c>
      <c r="J298" t="s">
        <v>40</v>
      </c>
      <c r="K298">
        <v>5</v>
      </c>
      <c r="L298">
        <v>11968</v>
      </c>
      <c r="M298">
        <v>45825</v>
      </c>
      <c r="N298">
        <v>1515</v>
      </c>
      <c r="O298">
        <v>34270</v>
      </c>
      <c r="P298" t="s">
        <v>63</v>
      </c>
      <c r="Q298" t="s">
        <v>33</v>
      </c>
      <c r="R298" t="s">
        <v>70</v>
      </c>
    </row>
    <row r="299" spans="1:18" x14ac:dyDescent="0.25">
      <c r="A299" t="s">
        <v>646</v>
      </c>
      <c r="B299" t="s">
        <v>647</v>
      </c>
      <c r="C299">
        <v>33</v>
      </c>
      <c r="D299" t="s">
        <v>37</v>
      </c>
      <c r="E299" t="s">
        <v>54</v>
      </c>
      <c r="F299" t="s">
        <v>75</v>
      </c>
      <c r="G299" t="s">
        <v>80</v>
      </c>
      <c r="H299" s="1">
        <v>45579</v>
      </c>
      <c r="I299" s="1">
        <v>45502</v>
      </c>
      <c r="J299" t="s">
        <v>57</v>
      </c>
      <c r="K299">
        <v>3</v>
      </c>
      <c r="L299">
        <v>32518</v>
      </c>
      <c r="M299">
        <v>12349</v>
      </c>
      <c r="N299">
        <v>27798</v>
      </c>
      <c r="O299">
        <v>201080</v>
      </c>
      <c r="P299" t="s">
        <v>51</v>
      </c>
      <c r="Q299" t="s">
        <v>87</v>
      </c>
      <c r="R299" t="s">
        <v>70</v>
      </c>
    </row>
    <row r="300" spans="1:18" x14ac:dyDescent="0.25">
      <c r="A300" t="s">
        <v>648</v>
      </c>
      <c r="B300" t="s">
        <v>649</v>
      </c>
      <c r="C300">
        <v>48</v>
      </c>
      <c r="D300" t="s">
        <v>20</v>
      </c>
      <c r="E300" t="s">
        <v>54</v>
      </c>
      <c r="F300" t="s">
        <v>31</v>
      </c>
      <c r="G300" t="s">
        <v>39</v>
      </c>
      <c r="H300" s="1">
        <v>45579</v>
      </c>
      <c r="I300" s="1">
        <v>45407</v>
      </c>
      <c r="J300" t="s">
        <v>32</v>
      </c>
      <c r="K300">
        <v>12</v>
      </c>
      <c r="L300">
        <v>56925</v>
      </c>
      <c r="M300">
        <v>45254</v>
      </c>
      <c r="N300">
        <v>9775</v>
      </c>
      <c r="O300">
        <v>144269</v>
      </c>
      <c r="P300" t="s">
        <v>63</v>
      </c>
      <c r="Q300" t="s">
        <v>26</v>
      </c>
      <c r="R300" t="s">
        <v>42</v>
      </c>
    </row>
    <row r="301" spans="1:18" x14ac:dyDescent="0.25">
      <c r="A301" t="s">
        <v>650</v>
      </c>
      <c r="B301" t="s">
        <v>651</v>
      </c>
      <c r="C301">
        <v>76</v>
      </c>
      <c r="D301" t="s">
        <v>20</v>
      </c>
      <c r="E301" t="s">
        <v>21</v>
      </c>
      <c r="F301" t="s">
        <v>22</v>
      </c>
      <c r="G301" t="s">
        <v>80</v>
      </c>
      <c r="H301" s="1">
        <v>45517</v>
      </c>
      <c r="I301" s="1">
        <v>45517</v>
      </c>
      <c r="J301" t="s">
        <v>32</v>
      </c>
      <c r="K301">
        <v>13</v>
      </c>
      <c r="L301">
        <v>195920</v>
      </c>
      <c r="M301">
        <v>39225</v>
      </c>
      <c r="N301">
        <v>29177</v>
      </c>
      <c r="O301">
        <v>15452</v>
      </c>
      <c r="P301" t="s">
        <v>63</v>
      </c>
      <c r="Q301" t="s">
        <v>33</v>
      </c>
      <c r="R301" t="s">
        <v>34</v>
      </c>
    </row>
    <row r="302" spans="1:18" x14ac:dyDescent="0.25">
      <c r="A302" t="s">
        <v>652</v>
      </c>
      <c r="B302" t="s">
        <v>653</v>
      </c>
      <c r="C302">
        <v>59</v>
      </c>
      <c r="D302" t="s">
        <v>37</v>
      </c>
      <c r="E302" t="s">
        <v>54</v>
      </c>
      <c r="F302" t="s">
        <v>38</v>
      </c>
      <c r="G302" t="s">
        <v>23</v>
      </c>
      <c r="H302" s="1">
        <v>45302</v>
      </c>
      <c r="I302" s="1">
        <v>45426</v>
      </c>
      <c r="J302" t="s">
        <v>57</v>
      </c>
      <c r="K302">
        <v>13</v>
      </c>
      <c r="L302">
        <v>116900</v>
      </c>
      <c r="M302">
        <v>39847</v>
      </c>
      <c r="N302">
        <v>13769</v>
      </c>
      <c r="O302">
        <v>49486</v>
      </c>
      <c r="P302" t="s">
        <v>63</v>
      </c>
      <c r="Q302" t="s">
        <v>47</v>
      </c>
      <c r="R302" t="s">
        <v>42</v>
      </c>
    </row>
    <row r="303" spans="1:18" x14ac:dyDescent="0.25">
      <c r="A303" t="s">
        <v>654</v>
      </c>
      <c r="B303" t="s">
        <v>655</v>
      </c>
      <c r="C303">
        <v>86</v>
      </c>
      <c r="D303" t="s">
        <v>37</v>
      </c>
      <c r="E303" t="s">
        <v>21</v>
      </c>
      <c r="F303" t="s">
        <v>22</v>
      </c>
      <c r="G303" t="s">
        <v>39</v>
      </c>
      <c r="H303" s="1">
        <v>45301</v>
      </c>
      <c r="I303" s="1">
        <v>45543</v>
      </c>
      <c r="J303" t="s">
        <v>57</v>
      </c>
      <c r="K303">
        <v>10</v>
      </c>
      <c r="L303">
        <v>98422</v>
      </c>
      <c r="M303">
        <v>13453</v>
      </c>
      <c r="N303">
        <v>24868</v>
      </c>
      <c r="O303">
        <v>22859</v>
      </c>
      <c r="P303" t="s">
        <v>63</v>
      </c>
      <c r="Q303" t="s">
        <v>47</v>
      </c>
      <c r="R303" t="s">
        <v>42</v>
      </c>
    </row>
    <row r="304" spans="1:18" x14ac:dyDescent="0.25">
      <c r="A304" t="s">
        <v>656</v>
      </c>
      <c r="B304" t="s">
        <v>657</v>
      </c>
      <c r="C304">
        <v>22</v>
      </c>
      <c r="D304" t="s">
        <v>37</v>
      </c>
      <c r="E304" t="s">
        <v>69</v>
      </c>
      <c r="F304" t="s">
        <v>46</v>
      </c>
      <c r="G304" t="s">
        <v>39</v>
      </c>
      <c r="H304" s="1">
        <v>45562</v>
      </c>
      <c r="I304" s="1">
        <v>45511</v>
      </c>
      <c r="J304" t="s">
        <v>32</v>
      </c>
      <c r="K304">
        <v>4</v>
      </c>
      <c r="L304">
        <v>6700</v>
      </c>
      <c r="M304">
        <v>19814</v>
      </c>
      <c r="N304">
        <v>906</v>
      </c>
      <c r="O304">
        <v>166308</v>
      </c>
      <c r="P304" t="s">
        <v>25</v>
      </c>
      <c r="Q304" t="s">
        <v>26</v>
      </c>
      <c r="R304" t="s">
        <v>70</v>
      </c>
    </row>
    <row r="305" spans="1:18" x14ac:dyDescent="0.25">
      <c r="A305" t="s">
        <v>658</v>
      </c>
      <c r="B305" t="s">
        <v>659</v>
      </c>
      <c r="C305">
        <v>30</v>
      </c>
      <c r="D305" t="s">
        <v>37</v>
      </c>
      <c r="E305" t="s">
        <v>21</v>
      </c>
      <c r="F305" t="s">
        <v>66</v>
      </c>
      <c r="G305" t="s">
        <v>80</v>
      </c>
      <c r="H305" s="1">
        <v>45564</v>
      </c>
      <c r="I305" s="1">
        <v>45383</v>
      </c>
      <c r="J305" t="s">
        <v>24</v>
      </c>
      <c r="K305">
        <v>9</v>
      </c>
      <c r="L305">
        <v>98782</v>
      </c>
      <c r="M305">
        <v>19263</v>
      </c>
      <c r="N305">
        <v>7884</v>
      </c>
      <c r="O305">
        <v>170971</v>
      </c>
      <c r="P305" t="s">
        <v>41</v>
      </c>
      <c r="Q305" t="s">
        <v>26</v>
      </c>
      <c r="R305" t="s">
        <v>27</v>
      </c>
    </row>
    <row r="306" spans="1:18" x14ac:dyDescent="0.25">
      <c r="A306" t="s">
        <v>660</v>
      </c>
      <c r="B306" t="s">
        <v>661</v>
      </c>
      <c r="C306">
        <v>38</v>
      </c>
      <c r="D306" t="s">
        <v>20</v>
      </c>
      <c r="E306" t="s">
        <v>21</v>
      </c>
      <c r="F306" t="s">
        <v>38</v>
      </c>
      <c r="G306" t="s">
        <v>39</v>
      </c>
      <c r="H306" s="1">
        <v>45474</v>
      </c>
      <c r="I306" s="1">
        <v>45646</v>
      </c>
      <c r="J306" t="s">
        <v>24</v>
      </c>
      <c r="K306">
        <v>2</v>
      </c>
      <c r="L306">
        <v>28199</v>
      </c>
      <c r="M306">
        <v>13158</v>
      </c>
      <c r="N306">
        <v>22933</v>
      </c>
      <c r="O306">
        <v>40083</v>
      </c>
      <c r="P306" t="s">
        <v>51</v>
      </c>
      <c r="Q306" t="s">
        <v>87</v>
      </c>
      <c r="R306" t="s">
        <v>42</v>
      </c>
    </row>
    <row r="307" spans="1:18" x14ac:dyDescent="0.25">
      <c r="A307" t="s">
        <v>662</v>
      </c>
      <c r="B307" t="s">
        <v>663</v>
      </c>
      <c r="C307">
        <v>51</v>
      </c>
      <c r="D307" t="s">
        <v>37</v>
      </c>
      <c r="E307" t="s">
        <v>45</v>
      </c>
      <c r="F307" t="s">
        <v>46</v>
      </c>
      <c r="G307" t="s">
        <v>80</v>
      </c>
      <c r="H307" s="1">
        <v>45444</v>
      </c>
      <c r="I307" s="1">
        <v>45338</v>
      </c>
      <c r="J307" t="s">
        <v>57</v>
      </c>
      <c r="K307">
        <v>19</v>
      </c>
      <c r="L307">
        <v>180661</v>
      </c>
      <c r="M307">
        <v>16735</v>
      </c>
      <c r="N307">
        <v>23053</v>
      </c>
      <c r="O307">
        <v>75708</v>
      </c>
      <c r="P307" t="s">
        <v>63</v>
      </c>
      <c r="Q307" t="s">
        <v>58</v>
      </c>
      <c r="R307" t="s">
        <v>27</v>
      </c>
    </row>
    <row r="308" spans="1:18" x14ac:dyDescent="0.25">
      <c r="A308" t="s">
        <v>664</v>
      </c>
      <c r="B308" t="s">
        <v>665</v>
      </c>
      <c r="C308">
        <v>54</v>
      </c>
      <c r="D308" t="s">
        <v>37</v>
      </c>
      <c r="E308" t="s">
        <v>21</v>
      </c>
      <c r="F308" t="s">
        <v>46</v>
      </c>
      <c r="G308" t="s">
        <v>80</v>
      </c>
      <c r="H308" s="1">
        <v>45606</v>
      </c>
      <c r="I308" s="1">
        <v>45330</v>
      </c>
      <c r="J308" t="s">
        <v>24</v>
      </c>
      <c r="K308">
        <v>1</v>
      </c>
      <c r="L308">
        <v>168187</v>
      </c>
      <c r="M308">
        <v>16830</v>
      </c>
      <c r="N308">
        <v>24866</v>
      </c>
      <c r="O308">
        <v>119462</v>
      </c>
      <c r="P308" t="s">
        <v>63</v>
      </c>
      <c r="Q308" t="s">
        <v>47</v>
      </c>
      <c r="R308" t="s">
        <v>34</v>
      </c>
    </row>
    <row r="309" spans="1:18" x14ac:dyDescent="0.25">
      <c r="A309" t="s">
        <v>666</v>
      </c>
      <c r="B309" t="s">
        <v>667</v>
      </c>
      <c r="C309">
        <v>8</v>
      </c>
      <c r="D309" t="s">
        <v>37</v>
      </c>
      <c r="E309" t="s">
        <v>21</v>
      </c>
      <c r="F309" t="s">
        <v>38</v>
      </c>
      <c r="G309" t="s">
        <v>80</v>
      </c>
      <c r="H309" s="1">
        <v>45625</v>
      </c>
      <c r="I309" s="1">
        <v>45434</v>
      </c>
      <c r="J309" t="s">
        <v>32</v>
      </c>
      <c r="K309">
        <v>7</v>
      </c>
      <c r="L309">
        <v>198006</v>
      </c>
      <c r="M309">
        <v>48893</v>
      </c>
      <c r="N309">
        <v>11768</v>
      </c>
      <c r="O309">
        <v>155735</v>
      </c>
      <c r="P309" t="s">
        <v>25</v>
      </c>
      <c r="Q309" t="s">
        <v>26</v>
      </c>
      <c r="R309" t="s">
        <v>70</v>
      </c>
    </row>
    <row r="310" spans="1:18" x14ac:dyDescent="0.25">
      <c r="A310" t="s">
        <v>668</v>
      </c>
      <c r="B310" t="s">
        <v>669</v>
      </c>
      <c r="C310">
        <v>27</v>
      </c>
      <c r="D310" t="s">
        <v>37</v>
      </c>
      <c r="E310" t="s">
        <v>30</v>
      </c>
      <c r="F310" t="s">
        <v>22</v>
      </c>
      <c r="G310" t="s">
        <v>80</v>
      </c>
      <c r="H310" s="1">
        <v>45415</v>
      </c>
      <c r="I310" s="1">
        <v>45392</v>
      </c>
      <c r="J310" t="s">
        <v>40</v>
      </c>
      <c r="K310">
        <v>17</v>
      </c>
      <c r="L310">
        <v>190388</v>
      </c>
      <c r="M310">
        <v>45673</v>
      </c>
      <c r="N310">
        <v>17869</v>
      </c>
      <c r="O310">
        <v>101076</v>
      </c>
      <c r="P310" t="s">
        <v>41</v>
      </c>
      <c r="Q310" t="s">
        <v>47</v>
      </c>
      <c r="R310" t="s">
        <v>34</v>
      </c>
    </row>
    <row r="311" spans="1:18" x14ac:dyDescent="0.25">
      <c r="A311" t="s">
        <v>670</v>
      </c>
      <c r="B311" t="s">
        <v>671</v>
      </c>
      <c r="C311">
        <v>27</v>
      </c>
      <c r="D311" t="s">
        <v>37</v>
      </c>
      <c r="E311" t="s">
        <v>69</v>
      </c>
      <c r="F311" t="s">
        <v>75</v>
      </c>
      <c r="G311" t="s">
        <v>80</v>
      </c>
      <c r="H311" s="1">
        <v>45405</v>
      </c>
      <c r="I311" s="1">
        <v>45620</v>
      </c>
      <c r="J311" t="s">
        <v>40</v>
      </c>
      <c r="K311">
        <v>3</v>
      </c>
      <c r="L311">
        <v>10520</v>
      </c>
      <c r="M311">
        <v>24926</v>
      </c>
      <c r="N311">
        <v>12295</v>
      </c>
      <c r="O311">
        <v>27053</v>
      </c>
      <c r="P311" t="s">
        <v>63</v>
      </c>
      <c r="Q311" t="s">
        <v>26</v>
      </c>
      <c r="R311" t="s">
        <v>34</v>
      </c>
    </row>
    <row r="312" spans="1:18" x14ac:dyDescent="0.25">
      <c r="A312" t="s">
        <v>672</v>
      </c>
      <c r="B312" t="s">
        <v>673</v>
      </c>
      <c r="C312">
        <v>21</v>
      </c>
      <c r="D312" t="s">
        <v>37</v>
      </c>
      <c r="E312" t="s">
        <v>45</v>
      </c>
      <c r="F312" t="s">
        <v>46</v>
      </c>
      <c r="G312" t="s">
        <v>39</v>
      </c>
      <c r="H312" s="1">
        <v>45569</v>
      </c>
      <c r="I312" s="1">
        <v>45482</v>
      </c>
      <c r="J312" t="s">
        <v>24</v>
      </c>
      <c r="K312">
        <v>3</v>
      </c>
      <c r="L312">
        <v>114814</v>
      </c>
      <c r="M312">
        <v>46066</v>
      </c>
      <c r="N312">
        <v>4985</v>
      </c>
      <c r="O312">
        <v>150157</v>
      </c>
      <c r="P312" t="s">
        <v>25</v>
      </c>
      <c r="Q312" t="s">
        <v>33</v>
      </c>
      <c r="R312" t="s">
        <v>70</v>
      </c>
    </row>
    <row r="313" spans="1:18" x14ac:dyDescent="0.25">
      <c r="A313" t="s">
        <v>674</v>
      </c>
      <c r="B313" t="s">
        <v>675</v>
      </c>
      <c r="C313">
        <v>30</v>
      </c>
      <c r="D313" t="s">
        <v>20</v>
      </c>
      <c r="E313" t="s">
        <v>30</v>
      </c>
      <c r="F313" t="s">
        <v>31</v>
      </c>
      <c r="G313" t="s">
        <v>23</v>
      </c>
      <c r="H313" s="1">
        <v>45504</v>
      </c>
      <c r="I313" s="1">
        <v>45327</v>
      </c>
      <c r="J313" t="s">
        <v>57</v>
      </c>
      <c r="K313">
        <v>3</v>
      </c>
      <c r="L313">
        <v>172527</v>
      </c>
      <c r="M313">
        <v>35779</v>
      </c>
      <c r="N313">
        <v>9401</v>
      </c>
      <c r="O313">
        <v>169636</v>
      </c>
      <c r="P313" t="s">
        <v>51</v>
      </c>
      <c r="Q313" t="s">
        <v>47</v>
      </c>
      <c r="R313" t="s">
        <v>34</v>
      </c>
    </row>
    <row r="314" spans="1:18" x14ac:dyDescent="0.25">
      <c r="A314" t="s">
        <v>676</v>
      </c>
      <c r="B314" t="s">
        <v>677</v>
      </c>
      <c r="C314">
        <v>28</v>
      </c>
      <c r="D314" t="s">
        <v>20</v>
      </c>
      <c r="E314" t="s">
        <v>50</v>
      </c>
      <c r="F314" t="s">
        <v>46</v>
      </c>
      <c r="G314" t="s">
        <v>23</v>
      </c>
      <c r="H314" s="1">
        <v>45463</v>
      </c>
      <c r="I314" s="1">
        <v>45439</v>
      </c>
      <c r="J314" t="s">
        <v>57</v>
      </c>
      <c r="K314">
        <v>17</v>
      </c>
      <c r="L314">
        <v>128364</v>
      </c>
      <c r="M314">
        <v>4373</v>
      </c>
      <c r="N314">
        <v>3118</v>
      </c>
      <c r="O314">
        <v>97745</v>
      </c>
      <c r="P314" t="s">
        <v>51</v>
      </c>
      <c r="Q314" t="s">
        <v>33</v>
      </c>
      <c r="R314" t="s">
        <v>70</v>
      </c>
    </row>
    <row r="315" spans="1:18" x14ac:dyDescent="0.25">
      <c r="A315" t="s">
        <v>678</v>
      </c>
      <c r="B315" t="s">
        <v>679</v>
      </c>
      <c r="C315">
        <v>64</v>
      </c>
      <c r="D315" t="s">
        <v>37</v>
      </c>
      <c r="E315" t="s">
        <v>69</v>
      </c>
      <c r="F315" t="s">
        <v>75</v>
      </c>
      <c r="G315" t="s">
        <v>39</v>
      </c>
      <c r="H315" s="1">
        <v>45579</v>
      </c>
      <c r="I315" s="1">
        <v>45322</v>
      </c>
      <c r="J315" t="s">
        <v>57</v>
      </c>
      <c r="K315">
        <v>7</v>
      </c>
      <c r="L315">
        <v>177677</v>
      </c>
      <c r="M315">
        <v>11335</v>
      </c>
      <c r="N315">
        <v>29925</v>
      </c>
      <c r="O315">
        <v>198167</v>
      </c>
      <c r="P315" t="s">
        <v>63</v>
      </c>
      <c r="Q315" t="s">
        <v>47</v>
      </c>
      <c r="R315" t="s">
        <v>27</v>
      </c>
    </row>
    <row r="316" spans="1:18" x14ac:dyDescent="0.25">
      <c r="A316" t="s">
        <v>680</v>
      </c>
      <c r="B316" t="s">
        <v>681</v>
      </c>
      <c r="C316">
        <v>69</v>
      </c>
      <c r="D316" t="s">
        <v>37</v>
      </c>
      <c r="E316" t="s">
        <v>69</v>
      </c>
      <c r="F316" t="s">
        <v>22</v>
      </c>
      <c r="G316" t="s">
        <v>39</v>
      </c>
      <c r="H316" s="1">
        <v>45465</v>
      </c>
      <c r="I316" s="1">
        <v>45626</v>
      </c>
      <c r="J316" t="s">
        <v>57</v>
      </c>
      <c r="K316">
        <v>14</v>
      </c>
      <c r="L316">
        <v>19955</v>
      </c>
      <c r="M316">
        <v>24741</v>
      </c>
      <c r="N316">
        <v>23173</v>
      </c>
      <c r="O316">
        <v>77517</v>
      </c>
      <c r="P316" t="s">
        <v>63</v>
      </c>
      <c r="Q316" t="s">
        <v>58</v>
      </c>
      <c r="R316" t="s">
        <v>34</v>
      </c>
    </row>
    <row r="317" spans="1:18" x14ac:dyDescent="0.25">
      <c r="A317" t="s">
        <v>682</v>
      </c>
      <c r="B317" t="s">
        <v>683</v>
      </c>
      <c r="C317">
        <v>61</v>
      </c>
      <c r="D317" t="s">
        <v>37</v>
      </c>
      <c r="E317" t="s">
        <v>50</v>
      </c>
      <c r="F317" t="s">
        <v>22</v>
      </c>
      <c r="G317" t="s">
        <v>23</v>
      </c>
      <c r="H317" s="1">
        <v>45404</v>
      </c>
      <c r="I317" s="1">
        <v>45376</v>
      </c>
      <c r="J317" t="s">
        <v>57</v>
      </c>
      <c r="K317">
        <v>17</v>
      </c>
      <c r="L317">
        <v>180121</v>
      </c>
      <c r="M317">
        <v>11692</v>
      </c>
      <c r="N317">
        <v>10103</v>
      </c>
      <c r="O317">
        <v>160225</v>
      </c>
      <c r="P317" t="s">
        <v>41</v>
      </c>
      <c r="Q317" t="s">
        <v>87</v>
      </c>
      <c r="R317" t="s">
        <v>70</v>
      </c>
    </row>
    <row r="318" spans="1:18" x14ac:dyDescent="0.25">
      <c r="A318" t="s">
        <v>684</v>
      </c>
      <c r="B318" t="s">
        <v>685</v>
      </c>
      <c r="C318">
        <v>48</v>
      </c>
      <c r="D318" t="s">
        <v>20</v>
      </c>
      <c r="E318" t="s">
        <v>21</v>
      </c>
      <c r="F318" t="s">
        <v>31</v>
      </c>
      <c r="G318" t="s">
        <v>23</v>
      </c>
      <c r="H318" s="1">
        <v>45413</v>
      </c>
      <c r="I318" s="1">
        <v>45661</v>
      </c>
      <c r="J318" t="s">
        <v>24</v>
      </c>
      <c r="K318">
        <v>18</v>
      </c>
      <c r="L318">
        <v>149989</v>
      </c>
      <c r="M318">
        <v>48295</v>
      </c>
      <c r="N318">
        <v>7428</v>
      </c>
      <c r="O318">
        <v>144319</v>
      </c>
      <c r="P318" t="s">
        <v>41</v>
      </c>
      <c r="Q318" t="s">
        <v>33</v>
      </c>
      <c r="R318" t="s">
        <v>42</v>
      </c>
    </row>
    <row r="319" spans="1:18" x14ac:dyDescent="0.25">
      <c r="A319" t="s">
        <v>686</v>
      </c>
      <c r="B319" t="s">
        <v>687</v>
      </c>
      <c r="C319">
        <v>19</v>
      </c>
      <c r="D319" t="s">
        <v>37</v>
      </c>
      <c r="E319" t="s">
        <v>30</v>
      </c>
      <c r="F319" t="s">
        <v>46</v>
      </c>
      <c r="G319" t="s">
        <v>23</v>
      </c>
      <c r="H319" s="1">
        <v>45323</v>
      </c>
      <c r="I319" s="1">
        <v>45573</v>
      </c>
      <c r="J319" t="s">
        <v>40</v>
      </c>
      <c r="K319">
        <v>13</v>
      </c>
      <c r="L319">
        <v>69925</v>
      </c>
      <c r="M319">
        <v>46541</v>
      </c>
      <c r="N319">
        <v>5868</v>
      </c>
      <c r="O319">
        <v>149625</v>
      </c>
      <c r="P319" t="s">
        <v>63</v>
      </c>
      <c r="Q319" t="s">
        <v>26</v>
      </c>
      <c r="R319" t="s">
        <v>34</v>
      </c>
    </row>
    <row r="320" spans="1:18" x14ac:dyDescent="0.25">
      <c r="A320" t="s">
        <v>688</v>
      </c>
      <c r="B320" t="s">
        <v>689</v>
      </c>
      <c r="C320">
        <v>4</v>
      </c>
      <c r="D320" t="s">
        <v>20</v>
      </c>
      <c r="E320" t="s">
        <v>54</v>
      </c>
      <c r="F320" t="s">
        <v>22</v>
      </c>
      <c r="G320" t="s">
        <v>23</v>
      </c>
      <c r="H320" s="1">
        <v>45513</v>
      </c>
      <c r="I320" s="1">
        <v>45636</v>
      </c>
      <c r="J320" t="s">
        <v>40</v>
      </c>
      <c r="K320">
        <v>18</v>
      </c>
      <c r="L320">
        <v>112216</v>
      </c>
      <c r="M320">
        <v>35057</v>
      </c>
      <c r="N320">
        <v>5121</v>
      </c>
      <c r="O320">
        <v>159883</v>
      </c>
      <c r="P320" t="s">
        <v>25</v>
      </c>
      <c r="Q320" t="s">
        <v>58</v>
      </c>
      <c r="R320" t="s">
        <v>27</v>
      </c>
    </row>
    <row r="321" spans="1:18" x14ac:dyDescent="0.25">
      <c r="A321" t="s">
        <v>690</v>
      </c>
      <c r="B321" t="s">
        <v>691</v>
      </c>
      <c r="C321">
        <v>35</v>
      </c>
      <c r="D321" t="s">
        <v>37</v>
      </c>
      <c r="E321" t="s">
        <v>45</v>
      </c>
      <c r="F321" t="s">
        <v>75</v>
      </c>
      <c r="G321" t="s">
        <v>23</v>
      </c>
      <c r="H321" s="1">
        <v>45410</v>
      </c>
      <c r="I321" s="1">
        <v>45562</v>
      </c>
      <c r="J321" t="s">
        <v>24</v>
      </c>
      <c r="K321">
        <v>4</v>
      </c>
      <c r="L321">
        <v>75269</v>
      </c>
      <c r="M321">
        <v>2447</v>
      </c>
      <c r="N321">
        <v>26561</v>
      </c>
      <c r="O321">
        <v>234453</v>
      </c>
      <c r="P321" t="s">
        <v>41</v>
      </c>
      <c r="Q321" t="s">
        <v>47</v>
      </c>
      <c r="R321" t="s">
        <v>70</v>
      </c>
    </row>
    <row r="322" spans="1:18" x14ac:dyDescent="0.25">
      <c r="A322" t="s">
        <v>692</v>
      </c>
      <c r="B322" t="s">
        <v>693</v>
      </c>
      <c r="C322">
        <v>64</v>
      </c>
      <c r="D322" t="s">
        <v>37</v>
      </c>
      <c r="E322" t="s">
        <v>54</v>
      </c>
      <c r="F322" t="s">
        <v>38</v>
      </c>
      <c r="G322" t="s">
        <v>80</v>
      </c>
      <c r="H322" s="1">
        <v>45330</v>
      </c>
      <c r="I322" s="1">
        <v>45446</v>
      </c>
      <c r="J322" t="s">
        <v>57</v>
      </c>
      <c r="K322">
        <v>1</v>
      </c>
      <c r="L322">
        <v>167026</v>
      </c>
      <c r="M322">
        <v>20583</v>
      </c>
      <c r="N322">
        <v>28026</v>
      </c>
      <c r="O322">
        <v>145207</v>
      </c>
      <c r="P322" t="s">
        <v>63</v>
      </c>
      <c r="Q322" t="s">
        <v>33</v>
      </c>
      <c r="R322" t="s">
        <v>34</v>
      </c>
    </row>
    <row r="323" spans="1:18" x14ac:dyDescent="0.25">
      <c r="A323" t="s">
        <v>694</v>
      </c>
      <c r="B323" t="s">
        <v>695</v>
      </c>
      <c r="C323">
        <v>49</v>
      </c>
      <c r="D323" t="s">
        <v>37</v>
      </c>
      <c r="E323" t="s">
        <v>50</v>
      </c>
      <c r="F323" t="s">
        <v>66</v>
      </c>
      <c r="G323" t="s">
        <v>39</v>
      </c>
      <c r="H323" s="1">
        <v>45559</v>
      </c>
      <c r="I323" s="1">
        <v>45394</v>
      </c>
      <c r="J323" t="s">
        <v>24</v>
      </c>
      <c r="K323">
        <v>18</v>
      </c>
      <c r="L323">
        <v>46458</v>
      </c>
      <c r="M323">
        <v>23765</v>
      </c>
      <c r="N323">
        <v>15219</v>
      </c>
      <c r="O323">
        <v>144645</v>
      </c>
      <c r="P323" t="s">
        <v>41</v>
      </c>
      <c r="Q323" t="s">
        <v>47</v>
      </c>
      <c r="R323" t="s">
        <v>34</v>
      </c>
    </row>
    <row r="324" spans="1:18" x14ac:dyDescent="0.25">
      <c r="A324" t="s">
        <v>696</v>
      </c>
      <c r="B324" t="s">
        <v>697</v>
      </c>
      <c r="C324">
        <v>17</v>
      </c>
      <c r="D324" t="s">
        <v>37</v>
      </c>
      <c r="E324" t="s">
        <v>69</v>
      </c>
      <c r="F324" t="s">
        <v>66</v>
      </c>
      <c r="G324" t="s">
        <v>80</v>
      </c>
      <c r="H324" s="1">
        <v>45524</v>
      </c>
      <c r="I324" s="1">
        <v>45507</v>
      </c>
      <c r="J324" t="s">
        <v>40</v>
      </c>
      <c r="K324">
        <v>1</v>
      </c>
      <c r="L324">
        <v>94037</v>
      </c>
      <c r="M324">
        <v>24906</v>
      </c>
      <c r="N324">
        <v>29727</v>
      </c>
      <c r="O324">
        <v>87267</v>
      </c>
      <c r="P324" t="s">
        <v>63</v>
      </c>
      <c r="Q324" t="s">
        <v>47</v>
      </c>
      <c r="R324" t="s">
        <v>34</v>
      </c>
    </row>
    <row r="325" spans="1:18" x14ac:dyDescent="0.25">
      <c r="A325" t="s">
        <v>698</v>
      </c>
      <c r="B325" t="s">
        <v>699</v>
      </c>
      <c r="C325">
        <v>44</v>
      </c>
      <c r="D325" t="s">
        <v>20</v>
      </c>
      <c r="E325" t="s">
        <v>69</v>
      </c>
      <c r="F325" t="s">
        <v>66</v>
      </c>
      <c r="G325" t="s">
        <v>23</v>
      </c>
      <c r="H325" s="1">
        <v>45309</v>
      </c>
      <c r="I325" s="1">
        <v>45442</v>
      </c>
      <c r="J325" t="s">
        <v>32</v>
      </c>
      <c r="K325">
        <v>13</v>
      </c>
      <c r="L325">
        <v>157185</v>
      </c>
      <c r="M325">
        <v>20567</v>
      </c>
      <c r="N325">
        <v>11626</v>
      </c>
      <c r="O325">
        <v>146261</v>
      </c>
      <c r="P325" t="s">
        <v>51</v>
      </c>
      <c r="Q325" t="s">
        <v>47</v>
      </c>
      <c r="R325" t="s">
        <v>27</v>
      </c>
    </row>
    <row r="326" spans="1:18" x14ac:dyDescent="0.25">
      <c r="A326" t="s">
        <v>700</v>
      </c>
      <c r="B326" t="s">
        <v>701</v>
      </c>
      <c r="C326">
        <v>30</v>
      </c>
      <c r="D326" t="s">
        <v>20</v>
      </c>
      <c r="E326" t="s">
        <v>45</v>
      </c>
      <c r="F326" t="s">
        <v>46</v>
      </c>
      <c r="G326" t="s">
        <v>23</v>
      </c>
      <c r="H326" s="1">
        <v>45440</v>
      </c>
      <c r="I326" s="1">
        <v>45375</v>
      </c>
      <c r="J326" t="s">
        <v>24</v>
      </c>
      <c r="K326">
        <v>10</v>
      </c>
      <c r="L326">
        <v>104977</v>
      </c>
      <c r="M326">
        <v>15139</v>
      </c>
      <c r="N326">
        <v>8066</v>
      </c>
      <c r="O326">
        <v>88077</v>
      </c>
      <c r="P326" t="s">
        <v>63</v>
      </c>
      <c r="Q326" t="s">
        <v>87</v>
      </c>
      <c r="R326" t="s">
        <v>70</v>
      </c>
    </row>
    <row r="327" spans="1:18" x14ac:dyDescent="0.25">
      <c r="A327" t="s">
        <v>702</v>
      </c>
      <c r="B327" t="s">
        <v>703</v>
      </c>
      <c r="C327">
        <v>46</v>
      </c>
      <c r="D327" t="s">
        <v>37</v>
      </c>
      <c r="E327" t="s">
        <v>69</v>
      </c>
      <c r="F327" t="s">
        <v>31</v>
      </c>
      <c r="G327" t="s">
        <v>23</v>
      </c>
      <c r="H327" s="1">
        <v>45440</v>
      </c>
      <c r="I327" s="1">
        <v>45402</v>
      </c>
      <c r="J327" t="s">
        <v>57</v>
      </c>
      <c r="K327">
        <v>11</v>
      </c>
      <c r="L327">
        <v>48939</v>
      </c>
      <c r="M327">
        <v>47525</v>
      </c>
      <c r="N327">
        <v>12806</v>
      </c>
      <c r="O327">
        <v>182718</v>
      </c>
      <c r="P327" t="s">
        <v>51</v>
      </c>
      <c r="Q327" t="s">
        <v>87</v>
      </c>
      <c r="R327" t="s">
        <v>42</v>
      </c>
    </row>
    <row r="328" spans="1:18" x14ac:dyDescent="0.25">
      <c r="A328" t="s">
        <v>704</v>
      </c>
      <c r="B328" t="s">
        <v>705</v>
      </c>
      <c r="C328">
        <v>6</v>
      </c>
      <c r="D328" t="s">
        <v>37</v>
      </c>
      <c r="E328" t="s">
        <v>69</v>
      </c>
      <c r="F328" t="s">
        <v>22</v>
      </c>
      <c r="G328" t="s">
        <v>80</v>
      </c>
      <c r="H328" s="1">
        <v>45417</v>
      </c>
      <c r="I328" s="1">
        <v>45567</v>
      </c>
      <c r="J328" t="s">
        <v>40</v>
      </c>
      <c r="K328">
        <v>9</v>
      </c>
      <c r="L328">
        <v>34345</v>
      </c>
      <c r="M328">
        <v>39230</v>
      </c>
      <c r="N328">
        <v>21554</v>
      </c>
      <c r="O328">
        <v>84623</v>
      </c>
      <c r="P328" t="s">
        <v>41</v>
      </c>
      <c r="Q328" t="s">
        <v>26</v>
      </c>
      <c r="R328" t="s">
        <v>42</v>
      </c>
    </row>
    <row r="329" spans="1:18" x14ac:dyDescent="0.25">
      <c r="A329" t="s">
        <v>706</v>
      </c>
      <c r="B329" t="s">
        <v>707</v>
      </c>
      <c r="C329">
        <v>37</v>
      </c>
      <c r="D329" t="s">
        <v>20</v>
      </c>
      <c r="E329" t="s">
        <v>45</v>
      </c>
      <c r="F329" t="s">
        <v>38</v>
      </c>
      <c r="G329" t="s">
        <v>80</v>
      </c>
      <c r="H329" s="1">
        <v>45593</v>
      </c>
      <c r="I329" s="1">
        <v>45493</v>
      </c>
      <c r="J329" t="s">
        <v>40</v>
      </c>
      <c r="K329">
        <v>9</v>
      </c>
      <c r="L329">
        <v>182385</v>
      </c>
      <c r="M329">
        <v>20520</v>
      </c>
      <c r="N329">
        <v>24542</v>
      </c>
      <c r="O329">
        <v>139004</v>
      </c>
      <c r="P329" t="s">
        <v>63</v>
      </c>
      <c r="Q329" t="s">
        <v>33</v>
      </c>
      <c r="R329" t="s">
        <v>42</v>
      </c>
    </row>
    <row r="330" spans="1:18" x14ac:dyDescent="0.25">
      <c r="A330" t="s">
        <v>708</v>
      </c>
      <c r="B330" t="s">
        <v>709</v>
      </c>
      <c r="C330">
        <v>24</v>
      </c>
      <c r="D330" t="s">
        <v>20</v>
      </c>
      <c r="E330" t="s">
        <v>30</v>
      </c>
      <c r="F330" t="s">
        <v>75</v>
      </c>
      <c r="G330" t="s">
        <v>23</v>
      </c>
      <c r="H330" s="1">
        <v>45651</v>
      </c>
      <c r="I330" s="1">
        <v>45576</v>
      </c>
      <c r="J330" t="s">
        <v>40</v>
      </c>
      <c r="K330">
        <v>5</v>
      </c>
      <c r="L330">
        <v>115107</v>
      </c>
      <c r="M330">
        <v>20702</v>
      </c>
      <c r="N330">
        <v>15586</v>
      </c>
      <c r="O330">
        <v>61687</v>
      </c>
      <c r="P330" t="s">
        <v>41</v>
      </c>
      <c r="Q330" t="s">
        <v>58</v>
      </c>
      <c r="R330" t="s">
        <v>70</v>
      </c>
    </row>
    <row r="331" spans="1:18" x14ac:dyDescent="0.25">
      <c r="A331" t="s">
        <v>710</v>
      </c>
      <c r="B331" t="s">
        <v>711</v>
      </c>
      <c r="C331">
        <v>46</v>
      </c>
      <c r="D331" t="s">
        <v>20</v>
      </c>
      <c r="E331" t="s">
        <v>30</v>
      </c>
      <c r="F331" t="s">
        <v>38</v>
      </c>
      <c r="G331" t="s">
        <v>80</v>
      </c>
      <c r="H331" s="1">
        <v>45529</v>
      </c>
      <c r="I331" s="1">
        <v>45465</v>
      </c>
      <c r="J331" t="s">
        <v>40</v>
      </c>
      <c r="K331">
        <v>1</v>
      </c>
      <c r="L331">
        <v>126866</v>
      </c>
      <c r="M331">
        <v>26566</v>
      </c>
      <c r="N331">
        <v>17887</v>
      </c>
      <c r="O331">
        <v>76312</v>
      </c>
      <c r="P331" t="s">
        <v>51</v>
      </c>
      <c r="Q331" t="s">
        <v>58</v>
      </c>
      <c r="R331" t="s">
        <v>42</v>
      </c>
    </row>
    <row r="332" spans="1:18" x14ac:dyDescent="0.25">
      <c r="A332" t="s">
        <v>712</v>
      </c>
      <c r="B332" t="s">
        <v>713</v>
      </c>
      <c r="C332">
        <v>53</v>
      </c>
      <c r="D332" t="s">
        <v>20</v>
      </c>
      <c r="E332" t="s">
        <v>45</v>
      </c>
      <c r="F332" t="s">
        <v>75</v>
      </c>
      <c r="G332" t="s">
        <v>80</v>
      </c>
      <c r="H332" s="1">
        <v>45426</v>
      </c>
      <c r="I332" s="1">
        <v>45619</v>
      </c>
      <c r="J332" t="s">
        <v>57</v>
      </c>
      <c r="K332">
        <v>17</v>
      </c>
      <c r="L332">
        <v>74166</v>
      </c>
      <c r="M332">
        <v>8657</v>
      </c>
      <c r="N332">
        <v>27542</v>
      </c>
      <c r="O332">
        <v>115615</v>
      </c>
      <c r="P332" t="s">
        <v>63</v>
      </c>
      <c r="Q332" t="s">
        <v>58</v>
      </c>
      <c r="R332" t="s">
        <v>27</v>
      </c>
    </row>
    <row r="333" spans="1:18" x14ac:dyDescent="0.25">
      <c r="A333" t="s">
        <v>714</v>
      </c>
      <c r="B333" t="s">
        <v>715</v>
      </c>
      <c r="C333">
        <v>60</v>
      </c>
      <c r="D333" t="s">
        <v>37</v>
      </c>
      <c r="E333" t="s">
        <v>50</v>
      </c>
      <c r="F333" t="s">
        <v>46</v>
      </c>
      <c r="G333" t="s">
        <v>23</v>
      </c>
      <c r="H333" s="1">
        <v>45442</v>
      </c>
      <c r="I333" s="1">
        <v>45498</v>
      </c>
      <c r="J333" t="s">
        <v>32</v>
      </c>
      <c r="K333">
        <v>2</v>
      </c>
      <c r="L333">
        <v>183933</v>
      </c>
      <c r="M333">
        <v>38688</v>
      </c>
      <c r="N333">
        <v>24388</v>
      </c>
      <c r="O333">
        <v>138976</v>
      </c>
      <c r="P333" t="s">
        <v>41</v>
      </c>
      <c r="Q333" t="s">
        <v>47</v>
      </c>
      <c r="R333" t="s">
        <v>70</v>
      </c>
    </row>
    <row r="334" spans="1:18" x14ac:dyDescent="0.25">
      <c r="A334" t="s">
        <v>716</v>
      </c>
      <c r="B334" t="s">
        <v>717</v>
      </c>
      <c r="C334">
        <v>63</v>
      </c>
      <c r="D334" t="s">
        <v>20</v>
      </c>
      <c r="E334" t="s">
        <v>69</v>
      </c>
      <c r="F334" t="s">
        <v>66</v>
      </c>
      <c r="G334" t="s">
        <v>80</v>
      </c>
      <c r="H334" s="1">
        <v>45527</v>
      </c>
      <c r="I334" s="1">
        <v>45355</v>
      </c>
      <c r="J334" t="s">
        <v>40</v>
      </c>
      <c r="K334">
        <v>13</v>
      </c>
      <c r="L334">
        <v>102406</v>
      </c>
      <c r="M334">
        <v>31134</v>
      </c>
      <c r="N334">
        <v>19350</v>
      </c>
      <c r="O334">
        <v>35564</v>
      </c>
      <c r="P334" t="s">
        <v>51</v>
      </c>
      <c r="Q334" t="s">
        <v>87</v>
      </c>
      <c r="R334" t="s">
        <v>34</v>
      </c>
    </row>
    <row r="335" spans="1:18" x14ac:dyDescent="0.25">
      <c r="A335" t="s">
        <v>718</v>
      </c>
      <c r="B335" t="s">
        <v>719</v>
      </c>
      <c r="C335">
        <v>85</v>
      </c>
      <c r="D335" t="s">
        <v>37</v>
      </c>
      <c r="E335" t="s">
        <v>69</v>
      </c>
      <c r="F335" t="s">
        <v>46</v>
      </c>
      <c r="G335" t="s">
        <v>39</v>
      </c>
      <c r="H335" s="1">
        <v>45515</v>
      </c>
      <c r="I335" s="1">
        <v>45365</v>
      </c>
      <c r="J335" t="s">
        <v>24</v>
      </c>
      <c r="K335">
        <v>9</v>
      </c>
      <c r="L335">
        <v>54298</v>
      </c>
      <c r="M335">
        <v>11345</v>
      </c>
      <c r="N335">
        <v>27014</v>
      </c>
      <c r="O335">
        <v>36835</v>
      </c>
      <c r="P335" t="s">
        <v>41</v>
      </c>
      <c r="Q335" t="s">
        <v>33</v>
      </c>
      <c r="R335" t="s">
        <v>27</v>
      </c>
    </row>
    <row r="336" spans="1:18" x14ac:dyDescent="0.25">
      <c r="A336" t="s">
        <v>720</v>
      </c>
      <c r="B336" t="s">
        <v>721</v>
      </c>
      <c r="C336">
        <v>32</v>
      </c>
      <c r="D336" t="s">
        <v>20</v>
      </c>
      <c r="E336" t="s">
        <v>50</v>
      </c>
      <c r="F336" t="s">
        <v>31</v>
      </c>
      <c r="G336" t="s">
        <v>39</v>
      </c>
      <c r="H336" s="1">
        <v>45494</v>
      </c>
      <c r="I336" s="1">
        <v>45543</v>
      </c>
      <c r="J336" t="s">
        <v>32</v>
      </c>
      <c r="K336">
        <v>4</v>
      </c>
      <c r="L336">
        <v>183293</v>
      </c>
      <c r="M336">
        <v>42185</v>
      </c>
      <c r="N336">
        <v>18823</v>
      </c>
      <c r="O336">
        <v>200659</v>
      </c>
      <c r="P336" t="s">
        <v>25</v>
      </c>
      <c r="Q336" t="s">
        <v>47</v>
      </c>
      <c r="R336" t="s">
        <v>34</v>
      </c>
    </row>
    <row r="337" spans="1:18" x14ac:dyDescent="0.25">
      <c r="A337" t="s">
        <v>722</v>
      </c>
      <c r="B337" t="s">
        <v>723</v>
      </c>
      <c r="C337">
        <v>87</v>
      </c>
      <c r="D337" t="s">
        <v>20</v>
      </c>
      <c r="E337" t="s">
        <v>30</v>
      </c>
      <c r="F337" t="s">
        <v>31</v>
      </c>
      <c r="G337" t="s">
        <v>39</v>
      </c>
      <c r="H337" s="1">
        <v>45547</v>
      </c>
      <c r="I337" s="1">
        <v>45416</v>
      </c>
      <c r="J337" t="s">
        <v>40</v>
      </c>
      <c r="K337">
        <v>5</v>
      </c>
      <c r="L337">
        <v>49942</v>
      </c>
      <c r="M337">
        <v>28413</v>
      </c>
      <c r="N337">
        <v>18519</v>
      </c>
      <c r="O337">
        <v>15697</v>
      </c>
      <c r="P337" t="s">
        <v>51</v>
      </c>
      <c r="Q337" t="s">
        <v>87</v>
      </c>
      <c r="R337" t="s">
        <v>42</v>
      </c>
    </row>
    <row r="338" spans="1:18" x14ac:dyDescent="0.25">
      <c r="A338" t="s">
        <v>724</v>
      </c>
      <c r="B338" t="s">
        <v>725</v>
      </c>
      <c r="C338">
        <v>33</v>
      </c>
      <c r="D338" t="s">
        <v>20</v>
      </c>
      <c r="E338" t="s">
        <v>21</v>
      </c>
      <c r="F338" t="s">
        <v>75</v>
      </c>
      <c r="G338" t="s">
        <v>39</v>
      </c>
      <c r="H338" s="1">
        <v>45377</v>
      </c>
      <c r="I338" s="1">
        <v>45413</v>
      </c>
      <c r="J338" t="s">
        <v>32</v>
      </c>
      <c r="K338">
        <v>11</v>
      </c>
      <c r="L338">
        <v>8453</v>
      </c>
      <c r="M338">
        <v>6208</v>
      </c>
      <c r="N338">
        <v>10390</v>
      </c>
      <c r="O338">
        <v>88165</v>
      </c>
      <c r="P338" t="s">
        <v>51</v>
      </c>
      <c r="Q338" t="s">
        <v>87</v>
      </c>
      <c r="R338" t="s">
        <v>27</v>
      </c>
    </row>
    <row r="339" spans="1:18" x14ac:dyDescent="0.25">
      <c r="A339" t="s">
        <v>726</v>
      </c>
      <c r="B339" t="s">
        <v>727</v>
      </c>
      <c r="C339">
        <v>67</v>
      </c>
      <c r="D339" t="s">
        <v>20</v>
      </c>
      <c r="E339" t="s">
        <v>21</v>
      </c>
      <c r="F339" t="s">
        <v>22</v>
      </c>
      <c r="G339" t="s">
        <v>23</v>
      </c>
      <c r="H339" s="1">
        <v>45441</v>
      </c>
      <c r="I339" s="1">
        <v>45567</v>
      </c>
      <c r="J339" t="s">
        <v>24</v>
      </c>
      <c r="K339">
        <v>19</v>
      </c>
      <c r="L339">
        <v>107811</v>
      </c>
      <c r="M339">
        <v>34455</v>
      </c>
      <c r="N339">
        <v>8595</v>
      </c>
      <c r="O339">
        <v>212994</v>
      </c>
      <c r="P339" t="s">
        <v>51</v>
      </c>
      <c r="Q339" t="s">
        <v>33</v>
      </c>
      <c r="R339" t="s">
        <v>70</v>
      </c>
    </row>
    <row r="340" spans="1:18" x14ac:dyDescent="0.25">
      <c r="A340" t="s">
        <v>728</v>
      </c>
      <c r="B340" t="s">
        <v>729</v>
      </c>
      <c r="C340">
        <v>18</v>
      </c>
      <c r="D340" t="s">
        <v>20</v>
      </c>
      <c r="E340" t="s">
        <v>21</v>
      </c>
      <c r="F340" t="s">
        <v>22</v>
      </c>
      <c r="G340" t="s">
        <v>23</v>
      </c>
      <c r="H340" s="1">
        <v>45526</v>
      </c>
      <c r="I340" s="1">
        <v>45412</v>
      </c>
      <c r="J340" t="s">
        <v>40</v>
      </c>
      <c r="K340">
        <v>3</v>
      </c>
      <c r="L340">
        <v>59935</v>
      </c>
      <c r="M340">
        <v>29018</v>
      </c>
      <c r="N340">
        <v>23149</v>
      </c>
      <c r="O340">
        <v>156118</v>
      </c>
      <c r="P340" t="s">
        <v>63</v>
      </c>
      <c r="Q340" t="s">
        <v>33</v>
      </c>
      <c r="R340" t="s">
        <v>27</v>
      </c>
    </row>
    <row r="341" spans="1:18" x14ac:dyDescent="0.25">
      <c r="A341" t="s">
        <v>730</v>
      </c>
      <c r="B341" t="s">
        <v>731</v>
      </c>
      <c r="C341">
        <v>25</v>
      </c>
      <c r="D341" t="s">
        <v>37</v>
      </c>
      <c r="E341" t="s">
        <v>30</v>
      </c>
      <c r="F341" t="s">
        <v>75</v>
      </c>
      <c r="G341" t="s">
        <v>23</v>
      </c>
      <c r="H341" s="1">
        <v>45636</v>
      </c>
      <c r="I341" s="1">
        <v>45609</v>
      </c>
      <c r="J341" t="s">
        <v>24</v>
      </c>
      <c r="K341">
        <v>12</v>
      </c>
      <c r="L341">
        <v>127439</v>
      </c>
      <c r="M341">
        <v>46991</v>
      </c>
      <c r="N341">
        <v>13219</v>
      </c>
      <c r="O341">
        <v>65823</v>
      </c>
      <c r="P341" t="s">
        <v>63</v>
      </c>
      <c r="Q341" t="s">
        <v>33</v>
      </c>
      <c r="R341" t="s">
        <v>34</v>
      </c>
    </row>
    <row r="342" spans="1:18" x14ac:dyDescent="0.25">
      <c r="A342" t="s">
        <v>732</v>
      </c>
      <c r="B342" t="s">
        <v>733</v>
      </c>
      <c r="C342">
        <v>54</v>
      </c>
      <c r="D342" t="s">
        <v>37</v>
      </c>
      <c r="E342" t="s">
        <v>30</v>
      </c>
      <c r="F342" t="s">
        <v>31</v>
      </c>
      <c r="G342" t="s">
        <v>39</v>
      </c>
      <c r="H342" s="1">
        <v>45313</v>
      </c>
      <c r="I342" s="1">
        <v>45456</v>
      </c>
      <c r="J342" t="s">
        <v>57</v>
      </c>
      <c r="K342">
        <v>19</v>
      </c>
      <c r="L342">
        <v>179442</v>
      </c>
      <c r="M342">
        <v>9080</v>
      </c>
      <c r="N342">
        <v>10783</v>
      </c>
      <c r="O342">
        <v>212652</v>
      </c>
      <c r="P342" t="s">
        <v>63</v>
      </c>
      <c r="Q342" t="s">
        <v>47</v>
      </c>
      <c r="R342" t="s">
        <v>70</v>
      </c>
    </row>
    <row r="343" spans="1:18" x14ac:dyDescent="0.25">
      <c r="A343" t="s">
        <v>734</v>
      </c>
      <c r="B343" t="s">
        <v>735</v>
      </c>
      <c r="C343">
        <v>58</v>
      </c>
      <c r="D343" t="s">
        <v>20</v>
      </c>
      <c r="E343" t="s">
        <v>50</v>
      </c>
      <c r="F343" t="s">
        <v>31</v>
      </c>
      <c r="G343" t="s">
        <v>39</v>
      </c>
      <c r="H343" s="1">
        <v>45639</v>
      </c>
      <c r="I343" s="1">
        <v>45578</v>
      </c>
      <c r="J343" t="s">
        <v>40</v>
      </c>
      <c r="K343">
        <v>19</v>
      </c>
      <c r="L343">
        <v>13328</v>
      </c>
      <c r="M343">
        <v>22902</v>
      </c>
      <c r="N343">
        <v>18779</v>
      </c>
      <c r="O343">
        <v>192442</v>
      </c>
      <c r="P343" t="s">
        <v>25</v>
      </c>
      <c r="Q343" t="s">
        <v>26</v>
      </c>
      <c r="R343" t="s">
        <v>27</v>
      </c>
    </row>
    <row r="344" spans="1:18" x14ac:dyDescent="0.25">
      <c r="A344" t="s">
        <v>736</v>
      </c>
      <c r="B344" t="s">
        <v>737</v>
      </c>
      <c r="C344">
        <v>67</v>
      </c>
      <c r="D344" t="s">
        <v>20</v>
      </c>
      <c r="E344" t="s">
        <v>69</v>
      </c>
      <c r="F344" t="s">
        <v>31</v>
      </c>
      <c r="G344" t="s">
        <v>80</v>
      </c>
      <c r="H344" s="1">
        <v>45576</v>
      </c>
      <c r="I344" s="1">
        <v>45557</v>
      </c>
      <c r="J344" t="s">
        <v>40</v>
      </c>
      <c r="K344">
        <v>13</v>
      </c>
      <c r="L344">
        <v>20534</v>
      </c>
      <c r="M344">
        <v>10486</v>
      </c>
      <c r="N344">
        <v>14731</v>
      </c>
      <c r="O344">
        <v>17615</v>
      </c>
      <c r="P344" t="s">
        <v>25</v>
      </c>
      <c r="Q344" t="s">
        <v>33</v>
      </c>
      <c r="R344" t="s">
        <v>27</v>
      </c>
    </row>
    <row r="345" spans="1:18" x14ac:dyDescent="0.25">
      <c r="A345" t="s">
        <v>738</v>
      </c>
      <c r="B345" t="s">
        <v>739</v>
      </c>
      <c r="C345">
        <v>46</v>
      </c>
      <c r="D345" t="s">
        <v>37</v>
      </c>
      <c r="E345" t="s">
        <v>50</v>
      </c>
      <c r="F345" t="s">
        <v>46</v>
      </c>
      <c r="G345" t="s">
        <v>80</v>
      </c>
      <c r="H345" s="1">
        <v>45560</v>
      </c>
      <c r="I345" s="1">
        <v>45612</v>
      </c>
      <c r="J345" t="s">
        <v>40</v>
      </c>
      <c r="K345">
        <v>7</v>
      </c>
      <c r="L345">
        <v>90280</v>
      </c>
      <c r="M345">
        <v>39862</v>
      </c>
      <c r="N345">
        <v>23408</v>
      </c>
      <c r="O345">
        <v>144132</v>
      </c>
      <c r="P345" t="s">
        <v>51</v>
      </c>
      <c r="Q345" t="s">
        <v>26</v>
      </c>
      <c r="R345" t="s">
        <v>27</v>
      </c>
    </row>
    <row r="346" spans="1:18" x14ac:dyDescent="0.25">
      <c r="A346" t="s">
        <v>740</v>
      </c>
      <c r="B346" t="s">
        <v>741</v>
      </c>
      <c r="C346">
        <v>24</v>
      </c>
      <c r="D346" t="s">
        <v>20</v>
      </c>
      <c r="E346" t="s">
        <v>50</v>
      </c>
      <c r="F346" t="s">
        <v>31</v>
      </c>
      <c r="G346" t="s">
        <v>39</v>
      </c>
      <c r="H346" s="1">
        <v>45549</v>
      </c>
      <c r="I346" s="1">
        <v>45453</v>
      </c>
      <c r="J346" t="s">
        <v>40</v>
      </c>
      <c r="K346">
        <v>15</v>
      </c>
      <c r="L346">
        <v>41320</v>
      </c>
      <c r="M346">
        <v>22158</v>
      </c>
      <c r="N346">
        <v>29316</v>
      </c>
      <c r="O346">
        <v>138499</v>
      </c>
      <c r="P346" t="s">
        <v>25</v>
      </c>
      <c r="Q346" t="s">
        <v>47</v>
      </c>
      <c r="R346" t="s">
        <v>27</v>
      </c>
    </row>
    <row r="347" spans="1:18" x14ac:dyDescent="0.25">
      <c r="A347" t="s">
        <v>742</v>
      </c>
      <c r="B347" t="s">
        <v>743</v>
      </c>
      <c r="C347">
        <v>32</v>
      </c>
      <c r="D347" t="s">
        <v>20</v>
      </c>
      <c r="E347" t="s">
        <v>30</v>
      </c>
      <c r="F347" t="s">
        <v>38</v>
      </c>
      <c r="G347" t="s">
        <v>39</v>
      </c>
      <c r="H347" s="1">
        <v>45320</v>
      </c>
      <c r="I347" s="1">
        <v>45600</v>
      </c>
      <c r="J347" t="s">
        <v>57</v>
      </c>
      <c r="K347">
        <v>7</v>
      </c>
      <c r="L347">
        <v>54170</v>
      </c>
      <c r="M347">
        <v>41460</v>
      </c>
      <c r="N347">
        <v>28474</v>
      </c>
      <c r="O347">
        <v>84436</v>
      </c>
      <c r="P347" t="s">
        <v>41</v>
      </c>
      <c r="Q347" t="s">
        <v>26</v>
      </c>
      <c r="R347" t="s">
        <v>70</v>
      </c>
    </row>
    <row r="348" spans="1:18" x14ac:dyDescent="0.25">
      <c r="A348" t="s">
        <v>744</v>
      </c>
      <c r="B348" t="s">
        <v>745</v>
      </c>
      <c r="C348">
        <v>47</v>
      </c>
      <c r="D348" t="s">
        <v>37</v>
      </c>
      <c r="E348" t="s">
        <v>21</v>
      </c>
      <c r="F348" t="s">
        <v>66</v>
      </c>
      <c r="G348" t="s">
        <v>39</v>
      </c>
      <c r="H348" s="1">
        <v>45504</v>
      </c>
      <c r="I348" s="1">
        <v>45381</v>
      </c>
      <c r="J348" t="s">
        <v>40</v>
      </c>
      <c r="K348">
        <v>8</v>
      </c>
      <c r="L348">
        <v>105546</v>
      </c>
      <c r="M348">
        <v>44856</v>
      </c>
      <c r="N348">
        <v>15198</v>
      </c>
      <c r="O348">
        <v>199591</v>
      </c>
      <c r="P348" t="s">
        <v>51</v>
      </c>
      <c r="Q348" t="s">
        <v>58</v>
      </c>
      <c r="R348" t="s">
        <v>34</v>
      </c>
    </row>
    <row r="349" spans="1:18" x14ac:dyDescent="0.25">
      <c r="A349" t="s">
        <v>746</v>
      </c>
      <c r="B349" t="s">
        <v>747</v>
      </c>
      <c r="C349">
        <v>86</v>
      </c>
      <c r="D349" t="s">
        <v>20</v>
      </c>
      <c r="E349" t="s">
        <v>54</v>
      </c>
      <c r="F349" t="s">
        <v>31</v>
      </c>
      <c r="G349" t="s">
        <v>39</v>
      </c>
      <c r="H349" s="1">
        <v>45574</v>
      </c>
      <c r="I349" s="1">
        <v>45434</v>
      </c>
      <c r="J349" t="s">
        <v>32</v>
      </c>
      <c r="K349">
        <v>5</v>
      </c>
      <c r="L349">
        <v>85201</v>
      </c>
      <c r="M349">
        <v>36871</v>
      </c>
      <c r="N349">
        <v>17957</v>
      </c>
      <c r="O349">
        <v>128562</v>
      </c>
      <c r="P349" t="s">
        <v>51</v>
      </c>
      <c r="Q349" t="s">
        <v>26</v>
      </c>
      <c r="R349" t="s">
        <v>27</v>
      </c>
    </row>
    <row r="350" spans="1:18" x14ac:dyDescent="0.25">
      <c r="A350" t="s">
        <v>748</v>
      </c>
      <c r="B350" t="s">
        <v>749</v>
      </c>
      <c r="C350">
        <v>23</v>
      </c>
      <c r="D350" t="s">
        <v>20</v>
      </c>
      <c r="E350" t="s">
        <v>69</v>
      </c>
      <c r="F350" t="s">
        <v>75</v>
      </c>
      <c r="G350" t="s">
        <v>80</v>
      </c>
      <c r="H350" s="1">
        <v>45341</v>
      </c>
      <c r="I350" s="1">
        <v>45495</v>
      </c>
      <c r="J350" t="s">
        <v>40</v>
      </c>
      <c r="K350">
        <v>14</v>
      </c>
      <c r="L350">
        <v>13640</v>
      </c>
      <c r="M350">
        <v>36208</v>
      </c>
      <c r="N350">
        <v>5684</v>
      </c>
      <c r="O350">
        <v>79117</v>
      </c>
      <c r="P350" t="s">
        <v>41</v>
      </c>
      <c r="Q350" t="s">
        <v>33</v>
      </c>
      <c r="R350" t="s">
        <v>70</v>
      </c>
    </row>
    <row r="351" spans="1:18" x14ac:dyDescent="0.25">
      <c r="A351" t="s">
        <v>750</v>
      </c>
      <c r="B351" t="s">
        <v>751</v>
      </c>
      <c r="C351">
        <v>66</v>
      </c>
      <c r="D351" t="s">
        <v>37</v>
      </c>
      <c r="E351" t="s">
        <v>30</v>
      </c>
      <c r="F351" t="s">
        <v>66</v>
      </c>
      <c r="G351" t="s">
        <v>39</v>
      </c>
      <c r="H351" s="1">
        <v>45386</v>
      </c>
      <c r="I351" s="1">
        <v>45601</v>
      </c>
      <c r="J351" t="s">
        <v>57</v>
      </c>
      <c r="K351">
        <v>4</v>
      </c>
      <c r="L351">
        <v>166121</v>
      </c>
      <c r="M351">
        <v>21519</v>
      </c>
      <c r="N351">
        <v>2902</v>
      </c>
      <c r="O351">
        <v>200230</v>
      </c>
      <c r="P351" t="s">
        <v>51</v>
      </c>
      <c r="Q351" t="s">
        <v>47</v>
      </c>
      <c r="R351" t="s">
        <v>34</v>
      </c>
    </row>
    <row r="352" spans="1:18" x14ac:dyDescent="0.25">
      <c r="A352" t="s">
        <v>752</v>
      </c>
      <c r="B352" t="s">
        <v>753</v>
      </c>
      <c r="C352">
        <v>27</v>
      </c>
      <c r="D352" t="s">
        <v>37</v>
      </c>
      <c r="E352" t="s">
        <v>21</v>
      </c>
      <c r="F352" t="s">
        <v>46</v>
      </c>
      <c r="G352" t="s">
        <v>80</v>
      </c>
      <c r="H352" s="1">
        <v>45379</v>
      </c>
      <c r="I352" s="1">
        <v>45519</v>
      </c>
      <c r="J352" t="s">
        <v>40</v>
      </c>
      <c r="K352">
        <v>10</v>
      </c>
      <c r="L352">
        <v>141690</v>
      </c>
      <c r="M352">
        <v>32379</v>
      </c>
      <c r="N352">
        <v>5395</v>
      </c>
      <c r="O352">
        <v>42782</v>
      </c>
      <c r="P352" t="s">
        <v>25</v>
      </c>
      <c r="Q352" t="s">
        <v>33</v>
      </c>
      <c r="R352" t="s">
        <v>27</v>
      </c>
    </row>
    <row r="353" spans="1:18" x14ac:dyDescent="0.25">
      <c r="A353" t="s">
        <v>754</v>
      </c>
      <c r="B353" t="s">
        <v>755</v>
      </c>
      <c r="C353">
        <v>2</v>
      </c>
      <c r="D353" t="s">
        <v>37</v>
      </c>
      <c r="E353" t="s">
        <v>54</v>
      </c>
      <c r="F353" t="s">
        <v>75</v>
      </c>
      <c r="G353" t="s">
        <v>39</v>
      </c>
      <c r="H353" s="1">
        <v>45335</v>
      </c>
      <c r="I353" s="1">
        <v>45626</v>
      </c>
      <c r="J353" t="s">
        <v>32</v>
      </c>
      <c r="K353">
        <v>15</v>
      </c>
      <c r="L353">
        <v>192125</v>
      </c>
      <c r="M353">
        <v>29378</v>
      </c>
      <c r="N353">
        <v>24215</v>
      </c>
      <c r="O353">
        <v>224781</v>
      </c>
      <c r="P353" t="s">
        <v>63</v>
      </c>
      <c r="Q353" t="s">
        <v>58</v>
      </c>
      <c r="R353" t="s">
        <v>34</v>
      </c>
    </row>
    <row r="354" spans="1:18" x14ac:dyDescent="0.25">
      <c r="A354" t="s">
        <v>756</v>
      </c>
      <c r="B354" t="s">
        <v>757</v>
      </c>
      <c r="C354">
        <v>17</v>
      </c>
      <c r="D354" t="s">
        <v>20</v>
      </c>
      <c r="E354" t="s">
        <v>54</v>
      </c>
      <c r="F354" t="s">
        <v>66</v>
      </c>
      <c r="G354" t="s">
        <v>39</v>
      </c>
      <c r="H354" s="1">
        <v>45569</v>
      </c>
      <c r="I354" s="1">
        <v>45514</v>
      </c>
      <c r="J354" t="s">
        <v>57</v>
      </c>
      <c r="K354">
        <v>18</v>
      </c>
      <c r="L354">
        <v>137992</v>
      </c>
      <c r="M354">
        <v>40892</v>
      </c>
      <c r="N354">
        <v>11904</v>
      </c>
      <c r="O354">
        <v>86533</v>
      </c>
      <c r="P354" t="s">
        <v>41</v>
      </c>
      <c r="Q354" t="s">
        <v>33</v>
      </c>
      <c r="R354" t="s">
        <v>34</v>
      </c>
    </row>
    <row r="355" spans="1:18" x14ac:dyDescent="0.25">
      <c r="A355" t="s">
        <v>758</v>
      </c>
      <c r="B355" t="s">
        <v>759</v>
      </c>
      <c r="C355">
        <v>33</v>
      </c>
      <c r="D355" t="s">
        <v>37</v>
      </c>
      <c r="E355" t="s">
        <v>30</v>
      </c>
      <c r="F355" t="s">
        <v>75</v>
      </c>
      <c r="G355" t="s">
        <v>39</v>
      </c>
      <c r="H355" s="1">
        <v>45462</v>
      </c>
      <c r="I355" s="1">
        <v>45333</v>
      </c>
      <c r="J355" t="s">
        <v>57</v>
      </c>
      <c r="K355">
        <v>13</v>
      </c>
      <c r="L355">
        <v>48937</v>
      </c>
      <c r="M355">
        <v>15031</v>
      </c>
      <c r="N355">
        <v>29113</v>
      </c>
      <c r="O355">
        <v>248011</v>
      </c>
      <c r="P355" t="s">
        <v>25</v>
      </c>
      <c r="Q355" t="s">
        <v>33</v>
      </c>
      <c r="R355" t="s">
        <v>70</v>
      </c>
    </row>
    <row r="356" spans="1:18" x14ac:dyDescent="0.25">
      <c r="A356" t="s">
        <v>760</v>
      </c>
      <c r="B356" t="s">
        <v>761</v>
      </c>
      <c r="C356">
        <v>9</v>
      </c>
      <c r="D356" t="s">
        <v>37</v>
      </c>
      <c r="E356" t="s">
        <v>45</v>
      </c>
      <c r="F356" t="s">
        <v>46</v>
      </c>
      <c r="G356" t="s">
        <v>80</v>
      </c>
      <c r="H356" s="1">
        <v>45480</v>
      </c>
      <c r="I356" s="1">
        <v>45488</v>
      </c>
      <c r="J356" t="s">
        <v>32</v>
      </c>
      <c r="K356">
        <v>8</v>
      </c>
      <c r="L356">
        <v>148279</v>
      </c>
      <c r="M356">
        <v>15536</v>
      </c>
      <c r="N356">
        <v>15661</v>
      </c>
      <c r="O356">
        <v>197327</v>
      </c>
      <c r="P356" t="s">
        <v>41</v>
      </c>
      <c r="Q356" t="s">
        <v>33</v>
      </c>
      <c r="R356" t="s">
        <v>34</v>
      </c>
    </row>
    <row r="357" spans="1:18" x14ac:dyDescent="0.25">
      <c r="A357" t="s">
        <v>762</v>
      </c>
      <c r="B357" t="s">
        <v>763</v>
      </c>
      <c r="C357">
        <v>43</v>
      </c>
      <c r="D357" t="s">
        <v>37</v>
      </c>
      <c r="E357" t="s">
        <v>69</v>
      </c>
      <c r="F357" t="s">
        <v>38</v>
      </c>
      <c r="G357" t="s">
        <v>80</v>
      </c>
      <c r="H357" s="1">
        <v>45644</v>
      </c>
      <c r="I357" s="1">
        <v>45360</v>
      </c>
      <c r="J357" t="s">
        <v>32</v>
      </c>
      <c r="K357">
        <v>9</v>
      </c>
      <c r="L357">
        <v>169044</v>
      </c>
      <c r="M357">
        <v>1446</v>
      </c>
      <c r="N357">
        <v>9843</v>
      </c>
      <c r="O357">
        <v>80684</v>
      </c>
      <c r="P357" t="s">
        <v>41</v>
      </c>
      <c r="Q357" t="s">
        <v>87</v>
      </c>
      <c r="R357" t="s">
        <v>70</v>
      </c>
    </row>
    <row r="358" spans="1:18" x14ac:dyDescent="0.25">
      <c r="A358" t="s">
        <v>764</v>
      </c>
      <c r="B358" t="s">
        <v>765</v>
      </c>
      <c r="C358">
        <v>48</v>
      </c>
      <c r="D358" t="s">
        <v>37</v>
      </c>
      <c r="E358" t="s">
        <v>54</v>
      </c>
      <c r="F358" t="s">
        <v>46</v>
      </c>
      <c r="G358" t="s">
        <v>23</v>
      </c>
      <c r="H358" s="1">
        <v>45475</v>
      </c>
      <c r="I358" s="1">
        <v>45556</v>
      </c>
      <c r="J358" t="s">
        <v>32</v>
      </c>
      <c r="K358">
        <v>16</v>
      </c>
      <c r="L358">
        <v>146871</v>
      </c>
      <c r="M358">
        <v>37683</v>
      </c>
      <c r="N358">
        <v>11137</v>
      </c>
      <c r="O358">
        <v>195990</v>
      </c>
      <c r="P358" t="s">
        <v>51</v>
      </c>
      <c r="Q358" t="s">
        <v>58</v>
      </c>
      <c r="R358" t="s">
        <v>27</v>
      </c>
    </row>
    <row r="359" spans="1:18" x14ac:dyDescent="0.25">
      <c r="A359" t="s">
        <v>766</v>
      </c>
      <c r="B359" t="s">
        <v>767</v>
      </c>
      <c r="C359">
        <v>39</v>
      </c>
      <c r="D359" t="s">
        <v>37</v>
      </c>
      <c r="E359" t="s">
        <v>30</v>
      </c>
      <c r="F359" t="s">
        <v>46</v>
      </c>
      <c r="G359" t="s">
        <v>39</v>
      </c>
      <c r="H359" s="1">
        <v>45294</v>
      </c>
      <c r="I359" s="1">
        <v>45294</v>
      </c>
      <c r="J359" t="s">
        <v>32</v>
      </c>
      <c r="K359">
        <v>19</v>
      </c>
      <c r="L359">
        <v>164988</v>
      </c>
      <c r="M359">
        <v>49555</v>
      </c>
      <c r="N359">
        <v>2456</v>
      </c>
      <c r="O359">
        <v>223356</v>
      </c>
      <c r="P359" t="s">
        <v>51</v>
      </c>
      <c r="Q359" t="s">
        <v>33</v>
      </c>
      <c r="R359" t="s">
        <v>34</v>
      </c>
    </row>
    <row r="360" spans="1:18" x14ac:dyDescent="0.25">
      <c r="A360" t="s">
        <v>768</v>
      </c>
      <c r="B360" t="s">
        <v>769</v>
      </c>
      <c r="C360">
        <v>42</v>
      </c>
      <c r="D360" t="s">
        <v>37</v>
      </c>
      <c r="E360" t="s">
        <v>30</v>
      </c>
      <c r="F360" t="s">
        <v>75</v>
      </c>
      <c r="G360" t="s">
        <v>23</v>
      </c>
      <c r="H360" s="1">
        <v>45482</v>
      </c>
      <c r="I360" s="1">
        <v>45653</v>
      </c>
      <c r="J360" t="s">
        <v>32</v>
      </c>
      <c r="K360">
        <v>16</v>
      </c>
      <c r="L360">
        <v>75463</v>
      </c>
      <c r="M360">
        <v>18618</v>
      </c>
      <c r="N360">
        <v>7523</v>
      </c>
      <c r="O360">
        <v>87558</v>
      </c>
      <c r="P360" t="s">
        <v>25</v>
      </c>
      <c r="Q360" t="s">
        <v>33</v>
      </c>
      <c r="R360" t="s">
        <v>34</v>
      </c>
    </row>
    <row r="361" spans="1:18" x14ac:dyDescent="0.25">
      <c r="A361" t="s">
        <v>770</v>
      </c>
      <c r="B361" t="s">
        <v>771</v>
      </c>
      <c r="C361">
        <v>26</v>
      </c>
      <c r="D361" t="s">
        <v>20</v>
      </c>
      <c r="E361" t="s">
        <v>21</v>
      </c>
      <c r="F361" t="s">
        <v>22</v>
      </c>
      <c r="G361" t="s">
        <v>23</v>
      </c>
      <c r="H361" s="1">
        <v>45409</v>
      </c>
      <c r="I361" s="1">
        <v>45417</v>
      </c>
      <c r="J361" t="s">
        <v>57</v>
      </c>
      <c r="K361">
        <v>7</v>
      </c>
      <c r="L361">
        <v>98500</v>
      </c>
      <c r="M361">
        <v>7587</v>
      </c>
      <c r="N361">
        <v>29634</v>
      </c>
      <c r="O361">
        <v>224621</v>
      </c>
      <c r="P361" t="s">
        <v>41</v>
      </c>
      <c r="Q361" t="s">
        <v>33</v>
      </c>
      <c r="R361" t="s">
        <v>42</v>
      </c>
    </row>
    <row r="362" spans="1:18" x14ac:dyDescent="0.25">
      <c r="A362" t="s">
        <v>772</v>
      </c>
      <c r="B362" t="s">
        <v>773</v>
      </c>
      <c r="C362">
        <v>50</v>
      </c>
      <c r="D362" t="s">
        <v>20</v>
      </c>
      <c r="E362" t="s">
        <v>45</v>
      </c>
      <c r="F362" t="s">
        <v>31</v>
      </c>
      <c r="G362" t="s">
        <v>80</v>
      </c>
      <c r="H362" s="1">
        <v>45310</v>
      </c>
      <c r="I362" s="1">
        <v>45402</v>
      </c>
      <c r="J362" t="s">
        <v>57</v>
      </c>
      <c r="K362">
        <v>14</v>
      </c>
      <c r="L362">
        <v>42158</v>
      </c>
      <c r="M362">
        <v>32480</v>
      </c>
      <c r="N362">
        <v>14562</v>
      </c>
      <c r="O362">
        <v>243295</v>
      </c>
      <c r="P362" t="s">
        <v>51</v>
      </c>
      <c r="Q362" t="s">
        <v>47</v>
      </c>
      <c r="R362" t="s">
        <v>27</v>
      </c>
    </row>
    <row r="363" spans="1:18" x14ac:dyDescent="0.25">
      <c r="A363" t="s">
        <v>774</v>
      </c>
      <c r="B363" t="s">
        <v>775</v>
      </c>
      <c r="C363">
        <v>25</v>
      </c>
      <c r="D363" t="s">
        <v>37</v>
      </c>
      <c r="E363" t="s">
        <v>69</v>
      </c>
      <c r="F363" t="s">
        <v>31</v>
      </c>
      <c r="G363" t="s">
        <v>80</v>
      </c>
      <c r="H363" s="1">
        <v>45314</v>
      </c>
      <c r="I363" s="1">
        <v>45378</v>
      </c>
      <c r="J363" t="s">
        <v>40</v>
      </c>
      <c r="K363">
        <v>14</v>
      </c>
      <c r="L363">
        <v>89607</v>
      </c>
      <c r="M363">
        <v>33994</v>
      </c>
      <c r="N363">
        <v>14833</v>
      </c>
      <c r="O363">
        <v>89422</v>
      </c>
      <c r="P363" t="s">
        <v>51</v>
      </c>
      <c r="Q363" t="s">
        <v>87</v>
      </c>
      <c r="R363" t="s">
        <v>27</v>
      </c>
    </row>
    <row r="364" spans="1:18" x14ac:dyDescent="0.25">
      <c r="A364" t="s">
        <v>776</v>
      </c>
      <c r="B364" t="s">
        <v>777</v>
      </c>
      <c r="C364">
        <v>24</v>
      </c>
      <c r="D364" t="s">
        <v>37</v>
      </c>
      <c r="E364" t="s">
        <v>50</v>
      </c>
      <c r="F364" t="s">
        <v>38</v>
      </c>
      <c r="G364" t="s">
        <v>23</v>
      </c>
      <c r="H364" s="1">
        <v>45321</v>
      </c>
      <c r="I364" s="1">
        <v>45412</v>
      </c>
      <c r="J364" t="s">
        <v>40</v>
      </c>
      <c r="K364">
        <v>4</v>
      </c>
      <c r="L364">
        <v>124639</v>
      </c>
      <c r="M364">
        <v>21527</v>
      </c>
      <c r="N364">
        <v>4407</v>
      </c>
      <c r="O364">
        <v>164328</v>
      </c>
      <c r="P364" t="s">
        <v>41</v>
      </c>
      <c r="Q364" t="s">
        <v>47</v>
      </c>
      <c r="R364" t="s">
        <v>42</v>
      </c>
    </row>
    <row r="365" spans="1:18" x14ac:dyDescent="0.25">
      <c r="A365" t="s">
        <v>778</v>
      </c>
      <c r="B365" t="s">
        <v>779</v>
      </c>
      <c r="C365">
        <v>13</v>
      </c>
      <c r="D365" t="s">
        <v>37</v>
      </c>
      <c r="E365" t="s">
        <v>21</v>
      </c>
      <c r="F365" t="s">
        <v>38</v>
      </c>
      <c r="G365" t="s">
        <v>39</v>
      </c>
      <c r="H365" s="1">
        <v>45586</v>
      </c>
      <c r="I365" s="1">
        <v>45419</v>
      </c>
      <c r="J365" t="s">
        <v>24</v>
      </c>
      <c r="K365">
        <v>15</v>
      </c>
      <c r="L365">
        <v>76696</v>
      </c>
      <c r="M365">
        <v>24569</v>
      </c>
      <c r="N365">
        <v>1307</v>
      </c>
      <c r="O365">
        <v>169077</v>
      </c>
      <c r="P365" t="s">
        <v>25</v>
      </c>
      <c r="Q365" t="s">
        <v>87</v>
      </c>
      <c r="R365" t="s">
        <v>42</v>
      </c>
    </row>
    <row r="366" spans="1:18" x14ac:dyDescent="0.25">
      <c r="A366" t="s">
        <v>780</v>
      </c>
      <c r="B366" t="s">
        <v>781</v>
      </c>
      <c r="C366">
        <v>60</v>
      </c>
      <c r="D366" t="s">
        <v>20</v>
      </c>
      <c r="E366" t="s">
        <v>54</v>
      </c>
      <c r="F366" t="s">
        <v>31</v>
      </c>
      <c r="G366" t="s">
        <v>80</v>
      </c>
      <c r="H366" s="1">
        <v>45399</v>
      </c>
      <c r="I366" s="1">
        <v>45547</v>
      </c>
      <c r="J366" t="s">
        <v>40</v>
      </c>
      <c r="K366">
        <v>3</v>
      </c>
      <c r="L366">
        <v>66510</v>
      </c>
      <c r="M366">
        <v>12151</v>
      </c>
      <c r="N366">
        <v>25262</v>
      </c>
      <c r="O366">
        <v>14638</v>
      </c>
      <c r="P366" t="s">
        <v>25</v>
      </c>
      <c r="Q366" t="s">
        <v>33</v>
      </c>
      <c r="R366" t="s">
        <v>70</v>
      </c>
    </row>
    <row r="367" spans="1:18" x14ac:dyDescent="0.25">
      <c r="A367" t="s">
        <v>782</v>
      </c>
      <c r="B367" t="s">
        <v>783</v>
      </c>
      <c r="C367">
        <v>7</v>
      </c>
      <c r="D367" t="s">
        <v>20</v>
      </c>
      <c r="E367" t="s">
        <v>54</v>
      </c>
      <c r="F367" t="s">
        <v>22</v>
      </c>
      <c r="G367" t="s">
        <v>39</v>
      </c>
      <c r="H367" s="1">
        <v>45572</v>
      </c>
      <c r="I367" s="1">
        <v>45475</v>
      </c>
      <c r="J367" t="s">
        <v>40</v>
      </c>
      <c r="K367">
        <v>5</v>
      </c>
      <c r="L367">
        <v>125076</v>
      </c>
      <c r="M367">
        <v>6558</v>
      </c>
      <c r="N367">
        <v>14531</v>
      </c>
      <c r="O367">
        <v>45419</v>
      </c>
      <c r="P367" t="s">
        <v>41</v>
      </c>
      <c r="Q367" t="s">
        <v>58</v>
      </c>
      <c r="R367" t="s">
        <v>70</v>
      </c>
    </row>
    <row r="368" spans="1:18" x14ac:dyDescent="0.25">
      <c r="A368" t="s">
        <v>784</v>
      </c>
      <c r="B368" t="s">
        <v>785</v>
      </c>
      <c r="C368">
        <v>57</v>
      </c>
      <c r="D368" t="s">
        <v>20</v>
      </c>
      <c r="E368" t="s">
        <v>21</v>
      </c>
      <c r="F368" t="s">
        <v>31</v>
      </c>
      <c r="G368" t="s">
        <v>39</v>
      </c>
      <c r="H368" s="1">
        <v>45419</v>
      </c>
      <c r="I368" s="1">
        <v>45308</v>
      </c>
      <c r="J368" t="s">
        <v>32</v>
      </c>
      <c r="K368">
        <v>1</v>
      </c>
      <c r="L368">
        <v>63692</v>
      </c>
      <c r="M368">
        <v>45739</v>
      </c>
      <c r="N368">
        <v>5327</v>
      </c>
      <c r="O368">
        <v>41377</v>
      </c>
      <c r="P368" t="s">
        <v>25</v>
      </c>
      <c r="Q368" t="s">
        <v>26</v>
      </c>
      <c r="R368" t="s">
        <v>34</v>
      </c>
    </row>
    <row r="369" spans="1:18" x14ac:dyDescent="0.25">
      <c r="A369" t="s">
        <v>786</v>
      </c>
      <c r="B369" t="s">
        <v>787</v>
      </c>
      <c r="C369">
        <v>36</v>
      </c>
      <c r="D369" t="s">
        <v>20</v>
      </c>
      <c r="E369" t="s">
        <v>30</v>
      </c>
      <c r="F369" t="s">
        <v>22</v>
      </c>
      <c r="G369" t="s">
        <v>23</v>
      </c>
      <c r="H369" s="1">
        <v>45520</v>
      </c>
      <c r="I369" s="1">
        <v>45354</v>
      </c>
      <c r="J369" t="s">
        <v>32</v>
      </c>
      <c r="K369">
        <v>3</v>
      </c>
      <c r="L369">
        <v>135841</v>
      </c>
      <c r="M369">
        <v>33954</v>
      </c>
      <c r="N369">
        <v>14199</v>
      </c>
      <c r="O369">
        <v>114244</v>
      </c>
      <c r="P369" t="s">
        <v>51</v>
      </c>
      <c r="Q369" t="s">
        <v>26</v>
      </c>
      <c r="R369" t="s">
        <v>34</v>
      </c>
    </row>
    <row r="370" spans="1:18" x14ac:dyDescent="0.25">
      <c r="A370" t="s">
        <v>788</v>
      </c>
      <c r="B370" t="s">
        <v>789</v>
      </c>
      <c r="C370">
        <v>45</v>
      </c>
      <c r="D370" t="s">
        <v>20</v>
      </c>
      <c r="E370" t="s">
        <v>54</v>
      </c>
      <c r="F370" t="s">
        <v>38</v>
      </c>
      <c r="G370" t="s">
        <v>23</v>
      </c>
      <c r="H370" s="1">
        <v>45402</v>
      </c>
      <c r="I370" s="1">
        <v>45661</v>
      </c>
      <c r="J370" t="s">
        <v>40</v>
      </c>
      <c r="K370">
        <v>15</v>
      </c>
      <c r="L370">
        <v>197816</v>
      </c>
      <c r="M370">
        <v>48448</v>
      </c>
      <c r="N370">
        <v>5024</v>
      </c>
      <c r="O370">
        <v>182188</v>
      </c>
      <c r="P370" t="s">
        <v>41</v>
      </c>
      <c r="Q370" t="s">
        <v>33</v>
      </c>
      <c r="R370" t="s">
        <v>34</v>
      </c>
    </row>
    <row r="371" spans="1:18" x14ac:dyDescent="0.25">
      <c r="A371" t="s">
        <v>790</v>
      </c>
      <c r="B371" t="s">
        <v>791</v>
      </c>
      <c r="C371">
        <v>20</v>
      </c>
      <c r="D371" t="s">
        <v>20</v>
      </c>
      <c r="E371" t="s">
        <v>45</v>
      </c>
      <c r="F371" t="s">
        <v>66</v>
      </c>
      <c r="G371" t="s">
        <v>23</v>
      </c>
      <c r="H371" s="1">
        <v>45427</v>
      </c>
      <c r="I371" s="1">
        <v>45450</v>
      </c>
      <c r="J371" t="s">
        <v>24</v>
      </c>
      <c r="K371">
        <v>8</v>
      </c>
      <c r="L371">
        <v>20810</v>
      </c>
      <c r="M371">
        <v>48327</v>
      </c>
      <c r="N371">
        <v>15693</v>
      </c>
      <c r="O371">
        <v>175706</v>
      </c>
      <c r="P371" t="s">
        <v>51</v>
      </c>
      <c r="Q371" t="s">
        <v>47</v>
      </c>
      <c r="R371" t="s">
        <v>34</v>
      </c>
    </row>
    <row r="372" spans="1:18" x14ac:dyDescent="0.25">
      <c r="A372" t="s">
        <v>792</v>
      </c>
      <c r="B372" t="s">
        <v>793</v>
      </c>
      <c r="C372">
        <v>65</v>
      </c>
      <c r="D372" t="s">
        <v>20</v>
      </c>
      <c r="E372" t="s">
        <v>69</v>
      </c>
      <c r="F372" t="s">
        <v>75</v>
      </c>
      <c r="G372" t="s">
        <v>23</v>
      </c>
      <c r="H372" s="1">
        <v>45653</v>
      </c>
      <c r="I372" s="1">
        <v>45560</v>
      </c>
      <c r="J372" t="s">
        <v>32</v>
      </c>
      <c r="K372">
        <v>4</v>
      </c>
      <c r="L372">
        <v>141198</v>
      </c>
      <c r="M372">
        <v>44837</v>
      </c>
      <c r="N372">
        <v>26383</v>
      </c>
      <c r="O372">
        <v>221363</v>
      </c>
      <c r="P372" t="s">
        <v>63</v>
      </c>
      <c r="Q372" t="s">
        <v>58</v>
      </c>
      <c r="R372" t="s">
        <v>70</v>
      </c>
    </row>
    <row r="373" spans="1:18" x14ac:dyDescent="0.25">
      <c r="A373" t="s">
        <v>794</v>
      </c>
      <c r="B373" t="s">
        <v>795</v>
      </c>
      <c r="C373">
        <v>8</v>
      </c>
      <c r="D373" t="s">
        <v>20</v>
      </c>
      <c r="E373" t="s">
        <v>45</v>
      </c>
      <c r="F373" t="s">
        <v>38</v>
      </c>
      <c r="G373" t="s">
        <v>80</v>
      </c>
      <c r="H373" s="1">
        <v>45477</v>
      </c>
      <c r="I373" s="1">
        <v>45327</v>
      </c>
      <c r="J373" t="s">
        <v>40</v>
      </c>
      <c r="K373">
        <v>2</v>
      </c>
      <c r="L373">
        <v>166081</v>
      </c>
      <c r="M373">
        <v>36303</v>
      </c>
      <c r="N373">
        <v>16723</v>
      </c>
      <c r="O373">
        <v>31382</v>
      </c>
      <c r="P373" t="s">
        <v>63</v>
      </c>
      <c r="Q373" t="s">
        <v>87</v>
      </c>
      <c r="R373" t="s">
        <v>27</v>
      </c>
    </row>
    <row r="374" spans="1:18" x14ac:dyDescent="0.25">
      <c r="A374" t="s">
        <v>796</v>
      </c>
      <c r="B374" t="s">
        <v>797</v>
      </c>
      <c r="C374">
        <v>16</v>
      </c>
      <c r="D374" t="s">
        <v>20</v>
      </c>
      <c r="E374" t="s">
        <v>54</v>
      </c>
      <c r="F374" t="s">
        <v>38</v>
      </c>
      <c r="G374" t="s">
        <v>80</v>
      </c>
      <c r="H374" s="1">
        <v>45435</v>
      </c>
      <c r="I374" s="1">
        <v>45559</v>
      </c>
      <c r="J374" t="s">
        <v>40</v>
      </c>
      <c r="K374">
        <v>10</v>
      </c>
      <c r="L374">
        <v>116718</v>
      </c>
      <c r="M374">
        <v>35700</v>
      </c>
      <c r="N374">
        <v>19168</v>
      </c>
      <c r="O374">
        <v>195135</v>
      </c>
      <c r="P374" t="s">
        <v>25</v>
      </c>
      <c r="Q374" t="s">
        <v>33</v>
      </c>
      <c r="R374" t="s">
        <v>34</v>
      </c>
    </row>
    <row r="375" spans="1:18" x14ac:dyDescent="0.25">
      <c r="A375" t="s">
        <v>798</v>
      </c>
      <c r="B375" t="s">
        <v>799</v>
      </c>
      <c r="C375">
        <v>14</v>
      </c>
      <c r="D375" t="s">
        <v>37</v>
      </c>
      <c r="E375" t="s">
        <v>50</v>
      </c>
      <c r="F375" t="s">
        <v>46</v>
      </c>
      <c r="G375" t="s">
        <v>23</v>
      </c>
      <c r="H375" s="1">
        <v>45363</v>
      </c>
      <c r="I375" s="1">
        <v>45356</v>
      </c>
      <c r="J375" t="s">
        <v>57</v>
      </c>
      <c r="K375">
        <v>4</v>
      </c>
      <c r="L375">
        <v>95932</v>
      </c>
      <c r="M375">
        <v>28500</v>
      </c>
      <c r="N375">
        <v>5813</v>
      </c>
      <c r="O375">
        <v>161466</v>
      </c>
      <c r="P375" t="s">
        <v>63</v>
      </c>
      <c r="Q375" t="s">
        <v>58</v>
      </c>
      <c r="R375" t="s">
        <v>27</v>
      </c>
    </row>
    <row r="376" spans="1:18" x14ac:dyDescent="0.25">
      <c r="A376" t="s">
        <v>800</v>
      </c>
      <c r="B376" t="s">
        <v>801</v>
      </c>
      <c r="C376">
        <v>76</v>
      </c>
      <c r="D376" t="s">
        <v>37</v>
      </c>
      <c r="E376" t="s">
        <v>69</v>
      </c>
      <c r="F376" t="s">
        <v>46</v>
      </c>
      <c r="G376" t="s">
        <v>80</v>
      </c>
      <c r="H376" s="1">
        <v>45420</v>
      </c>
      <c r="I376" s="1">
        <v>45342</v>
      </c>
      <c r="J376" t="s">
        <v>24</v>
      </c>
      <c r="K376">
        <v>3</v>
      </c>
      <c r="L376">
        <v>5192</v>
      </c>
      <c r="M376">
        <v>3032</v>
      </c>
      <c r="N376">
        <v>14098</v>
      </c>
      <c r="O376">
        <v>75789</v>
      </c>
      <c r="P376" t="s">
        <v>51</v>
      </c>
      <c r="Q376" t="s">
        <v>58</v>
      </c>
      <c r="R376" t="s">
        <v>34</v>
      </c>
    </row>
    <row r="377" spans="1:18" x14ac:dyDescent="0.25">
      <c r="A377" t="s">
        <v>802</v>
      </c>
      <c r="B377" t="s">
        <v>803</v>
      </c>
      <c r="C377">
        <v>87</v>
      </c>
      <c r="D377" t="s">
        <v>37</v>
      </c>
      <c r="E377" t="s">
        <v>69</v>
      </c>
      <c r="F377" t="s">
        <v>46</v>
      </c>
      <c r="G377" t="s">
        <v>23</v>
      </c>
      <c r="H377" s="1">
        <v>45655</v>
      </c>
      <c r="I377" s="1">
        <v>45547</v>
      </c>
      <c r="J377" t="s">
        <v>57</v>
      </c>
      <c r="K377">
        <v>2</v>
      </c>
      <c r="L377">
        <v>41413</v>
      </c>
      <c r="M377">
        <v>2252</v>
      </c>
      <c r="N377">
        <v>13558</v>
      </c>
      <c r="O377">
        <v>242318</v>
      </c>
      <c r="P377" t="s">
        <v>63</v>
      </c>
      <c r="Q377" t="s">
        <v>87</v>
      </c>
      <c r="R377" t="s">
        <v>42</v>
      </c>
    </row>
    <row r="378" spans="1:18" x14ac:dyDescent="0.25">
      <c r="A378" t="s">
        <v>804</v>
      </c>
      <c r="B378" t="s">
        <v>805</v>
      </c>
      <c r="C378">
        <v>15</v>
      </c>
      <c r="D378" t="s">
        <v>37</v>
      </c>
      <c r="E378" t="s">
        <v>21</v>
      </c>
      <c r="F378" t="s">
        <v>75</v>
      </c>
      <c r="G378" t="s">
        <v>39</v>
      </c>
      <c r="H378" s="1">
        <v>45552</v>
      </c>
      <c r="I378" s="1">
        <v>45441</v>
      </c>
      <c r="J378" t="s">
        <v>24</v>
      </c>
      <c r="K378">
        <v>17</v>
      </c>
      <c r="L378">
        <v>148888</v>
      </c>
      <c r="M378">
        <v>6509</v>
      </c>
      <c r="N378">
        <v>17641</v>
      </c>
      <c r="O378">
        <v>118634</v>
      </c>
      <c r="P378" t="s">
        <v>51</v>
      </c>
      <c r="Q378" t="s">
        <v>58</v>
      </c>
      <c r="R378" t="s">
        <v>34</v>
      </c>
    </row>
    <row r="379" spans="1:18" x14ac:dyDescent="0.25">
      <c r="A379" t="s">
        <v>806</v>
      </c>
      <c r="B379" t="s">
        <v>807</v>
      </c>
      <c r="C379">
        <v>66</v>
      </c>
      <c r="D379" t="s">
        <v>20</v>
      </c>
      <c r="E379" t="s">
        <v>21</v>
      </c>
      <c r="F379" t="s">
        <v>46</v>
      </c>
      <c r="G379" t="s">
        <v>39</v>
      </c>
      <c r="H379" s="1">
        <v>45294</v>
      </c>
      <c r="I379" s="1">
        <v>45617</v>
      </c>
      <c r="J379" t="s">
        <v>32</v>
      </c>
      <c r="K379">
        <v>13</v>
      </c>
      <c r="L379">
        <v>44082</v>
      </c>
      <c r="M379">
        <v>38842</v>
      </c>
      <c r="N379">
        <v>29307</v>
      </c>
      <c r="O379">
        <v>139936</v>
      </c>
      <c r="P379" t="s">
        <v>25</v>
      </c>
      <c r="Q379" t="s">
        <v>47</v>
      </c>
      <c r="R379" t="s">
        <v>34</v>
      </c>
    </row>
    <row r="380" spans="1:18" x14ac:dyDescent="0.25">
      <c r="A380" t="s">
        <v>808</v>
      </c>
      <c r="B380" t="s">
        <v>809</v>
      </c>
      <c r="C380">
        <v>32</v>
      </c>
      <c r="D380" t="s">
        <v>20</v>
      </c>
      <c r="E380" t="s">
        <v>50</v>
      </c>
      <c r="F380" t="s">
        <v>22</v>
      </c>
      <c r="G380" t="s">
        <v>39</v>
      </c>
      <c r="H380" s="1">
        <v>45395</v>
      </c>
      <c r="I380" s="1">
        <v>45596</v>
      </c>
      <c r="J380" t="s">
        <v>24</v>
      </c>
      <c r="K380">
        <v>5</v>
      </c>
      <c r="L380">
        <v>70048</v>
      </c>
      <c r="M380">
        <v>14900</v>
      </c>
      <c r="N380">
        <v>5387</v>
      </c>
      <c r="O380">
        <v>107572</v>
      </c>
      <c r="P380" t="s">
        <v>25</v>
      </c>
      <c r="Q380" t="s">
        <v>47</v>
      </c>
      <c r="R380" t="s">
        <v>34</v>
      </c>
    </row>
    <row r="381" spans="1:18" x14ac:dyDescent="0.25">
      <c r="A381" t="s">
        <v>810</v>
      </c>
      <c r="B381" t="s">
        <v>811</v>
      </c>
      <c r="C381">
        <v>87</v>
      </c>
      <c r="D381" t="s">
        <v>37</v>
      </c>
      <c r="E381" t="s">
        <v>30</v>
      </c>
      <c r="F381" t="s">
        <v>31</v>
      </c>
      <c r="G381" t="s">
        <v>23</v>
      </c>
      <c r="H381" s="1">
        <v>45515</v>
      </c>
      <c r="I381" s="1">
        <v>45568</v>
      </c>
      <c r="J381" t="s">
        <v>40</v>
      </c>
      <c r="K381">
        <v>9</v>
      </c>
      <c r="L381">
        <v>128130</v>
      </c>
      <c r="M381">
        <v>15523</v>
      </c>
      <c r="N381">
        <v>4354</v>
      </c>
      <c r="O381">
        <v>179294</v>
      </c>
      <c r="P381" t="s">
        <v>51</v>
      </c>
      <c r="Q381" t="s">
        <v>47</v>
      </c>
      <c r="R381" t="s">
        <v>70</v>
      </c>
    </row>
    <row r="382" spans="1:18" x14ac:dyDescent="0.25">
      <c r="A382" t="s">
        <v>812</v>
      </c>
      <c r="B382" t="s">
        <v>813</v>
      </c>
      <c r="C382">
        <v>63</v>
      </c>
      <c r="D382" t="s">
        <v>20</v>
      </c>
      <c r="E382" t="s">
        <v>69</v>
      </c>
      <c r="F382" t="s">
        <v>66</v>
      </c>
      <c r="G382" t="s">
        <v>39</v>
      </c>
      <c r="H382" s="1">
        <v>45611</v>
      </c>
      <c r="I382" s="1">
        <v>45649</v>
      </c>
      <c r="J382" t="s">
        <v>40</v>
      </c>
      <c r="K382">
        <v>6</v>
      </c>
      <c r="L382">
        <v>55940</v>
      </c>
      <c r="M382">
        <v>2881</v>
      </c>
      <c r="N382">
        <v>12958</v>
      </c>
      <c r="O382">
        <v>152738</v>
      </c>
      <c r="P382" t="s">
        <v>63</v>
      </c>
      <c r="Q382" t="s">
        <v>58</v>
      </c>
      <c r="R382" t="s">
        <v>42</v>
      </c>
    </row>
    <row r="383" spans="1:18" x14ac:dyDescent="0.25">
      <c r="A383" t="s">
        <v>814</v>
      </c>
      <c r="B383" t="s">
        <v>815</v>
      </c>
      <c r="C383">
        <v>86</v>
      </c>
      <c r="D383" t="s">
        <v>37</v>
      </c>
      <c r="E383" t="s">
        <v>50</v>
      </c>
      <c r="F383" t="s">
        <v>38</v>
      </c>
      <c r="G383" t="s">
        <v>80</v>
      </c>
      <c r="H383" s="1">
        <v>45653</v>
      </c>
      <c r="I383" s="1">
        <v>45464</v>
      </c>
      <c r="J383" t="s">
        <v>24</v>
      </c>
      <c r="K383">
        <v>5</v>
      </c>
      <c r="L383">
        <v>168202</v>
      </c>
      <c r="M383">
        <v>34037</v>
      </c>
      <c r="N383">
        <v>27282</v>
      </c>
      <c r="O383">
        <v>131664</v>
      </c>
      <c r="P383" t="s">
        <v>25</v>
      </c>
      <c r="Q383" t="s">
        <v>47</v>
      </c>
      <c r="R383" t="s">
        <v>34</v>
      </c>
    </row>
    <row r="384" spans="1:18" x14ac:dyDescent="0.25">
      <c r="A384" t="s">
        <v>816</v>
      </c>
      <c r="B384" t="s">
        <v>817</v>
      </c>
      <c r="C384">
        <v>51</v>
      </c>
      <c r="D384" t="s">
        <v>20</v>
      </c>
      <c r="E384" t="s">
        <v>21</v>
      </c>
      <c r="F384" t="s">
        <v>22</v>
      </c>
      <c r="G384" t="s">
        <v>39</v>
      </c>
      <c r="H384" s="1">
        <v>45645</v>
      </c>
      <c r="I384" s="1">
        <v>45493</v>
      </c>
      <c r="J384" t="s">
        <v>24</v>
      </c>
      <c r="K384">
        <v>10</v>
      </c>
      <c r="L384">
        <v>45142</v>
      </c>
      <c r="M384">
        <v>2630</v>
      </c>
      <c r="N384">
        <v>15036</v>
      </c>
      <c r="O384">
        <v>160027</v>
      </c>
      <c r="P384" t="s">
        <v>41</v>
      </c>
      <c r="Q384" t="s">
        <v>87</v>
      </c>
      <c r="R384" t="s">
        <v>34</v>
      </c>
    </row>
    <row r="385" spans="1:18" x14ac:dyDescent="0.25">
      <c r="A385" t="s">
        <v>818</v>
      </c>
      <c r="B385" t="s">
        <v>819</v>
      </c>
      <c r="C385">
        <v>25</v>
      </c>
      <c r="D385" t="s">
        <v>37</v>
      </c>
      <c r="E385" t="s">
        <v>21</v>
      </c>
      <c r="F385" t="s">
        <v>66</v>
      </c>
      <c r="G385" t="s">
        <v>39</v>
      </c>
      <c r="H385" s="1">
        <v>45301</v>
      </c>
      <c r="I385" s="1">
        <v>45616</v>
      </c>
      <c r="J385" t="s">
        <v>24</v>
      </c>
      <c r="K385">
        <v>8</v>
      </c>
      <c r="L385">
        <v>41468</v>
      </c>
      <c r="M385">
        <v>21789</v>
      </c>
      <c r="N385">
        <v>4058</v>
      </c>
      <c r="O385">
        <v>118674</v>
      </c>
      <c r="P385" t="s">
        <v>25</v>
      </c>
      <c r="Q385" t="s">
        <v>58</v>
      </c>
      <c r="R385" t="s">
        <v>27</v>
      </c>
    </row>
    <row r="386" spans="1:18" x14ac:dyDescent="0.25">
      <c r="A386" t="s">
        <v>820</v>
      </c>
      <c r="B386" t="s">
        <v>821</v>
      </c>
      <c r="C386">
        <v>58</v>
      </c>
      <c r="D386" t="s">
        <v>20</v>
      </c>
      <c r="E386" t="s">
        <v>69</v>
      </c>
      <c r="F386" t="s">
        <v>22</v>
      </c>
      <c r="G386" t="s">
        <v>39</v>
      </c>
      <c r="H386" s="1">
        <v>45593</v>
      </c>
      <c r="I386" s="1">
        <v>45327</v>
      </c>
      <c r="J386" t="s">
        <v>57</v>
      </c>
      <c r="K386">
        <v>7</v>
      </c>
      <c r="L386">
        <v>166770</v>
      </c>
      <c r="M386">
        <v>23523</v>
      </c>
      <c r="N386">
        <v>10272</v>
      </c>
      <c r="O386">
        <v>111533</v>
      </c>
      <c r="P386" t="s">
        <v>63</v>
      </c>
      <c r="Q386" t="s">
        <v>26</v>
      </c>
      <c r="R386" t="s">
        <v>42</v>
      </c>
    </row>
    <row r="387" spans="1:18" x14ac:dyDescent="0.25">
      <c r="A387" t="s">
        <v>822</v>
      </c>
      <c r="B387" t="s">
        <v>823</v>
      </c>
      <c r="C387">
        <v>63</v>
      </c>
      <c r="D387" t="s">
        <v>20</v>
      </c>
      <c r="E387" t="s">
        <v>45</v>
      </c>
      <c r="F387" t="s">
        <v>22</v>
      </c>
      <c r="G387" t="s">
        <v>80</v>
      </c>
      <c r="H387" s="1">
        <v>45522</v>
      </c>
      <c r="I387" s="1">
        <v>45508</v>
      </c>
      <c r="J387" t="s">
        <v>24</v>
      </c>
      <c r="K387">
        <v>7</v>
      </c>
      <c r="L387">
        <v>146727</v>
      </c>
      <c r="M387">
        <v>18958</v>
      </c>
      <c r="N387">
        <v>17845</v>
      </c>
      <c r="O387">
        <v>89845</v>
      </c>
      <c r="P387" t="s">
        <v>41</v>
      </c>
      <c r="Q387" t="s">
        <v>58</v>
      </c>
      <c r="R387" t="s">
        <v>34</v>
      </c>
    </row>
    <row r="388" spans="1:18" x14ac:dyDescent="0.25">
      <c r="A388" t="s">
        <v>824</v>
      </c>
      <c r="B388" t="s">
        <v>825</v>
      </c>
      <c r="C388">
        <v>62</v>
      </c>
      <c r="D388" t="s">
        <v>37</v>
      </c>
      <c r="E388" t="s">
        <v>54</v>
      </c>
      <c r="F388" t="s">
        <v>38</v>
      </c>
      <c r="G388" t="s">
        <v>23</v>
      </c>
      <c r="H388" s="1">
        <v>45510</v>
      </c>
      <c r="I388" s="1">
        <v>45357</v>
      </c>
      <c r="J388" t="s">
        <v>32</v>
      </c>
      <c r="K388">
        <v>6</v>
      </c>
      <c r="L388">
        <v>183969</v>
      </c>
      <c r="M388">
        <v>47151</v>
      </c>
      <c r="N388">
        <v>20731</v>
      </c>
      <c r="O388">
        <v>77590</v>
      </c>
      <c r="P388" t="s">
        <v>63</v>
      </c>
      <c r="Q388" t="s">
        <v>87</v>
      </c>
      <c r="R388" t="s">
        <v>27</v>
      </c>
    </row>
    <row r="389" spans="1:18" x14ac:dyDescent="0.25">
      <c r="A389" t="s">
        <v>826</v>
      </c>
      <c r="B389" t="s">
        <v>827</v>
      </c>
      <c r="C389">
        <v>22</v>
      </c>
      <c r="D389" t="s">
        <v>20</v>
      </c>
      <c r="E389" t="s">
        <v>21</v>
      </c>
      <c r="F389" t="s">
        <v>31</v>
      </c>
      <c r="G389" t="s">
        <v>80</v>
      </c>
      <c r="H389" s="1">
        <v>45357</v>
      </c>
      <c r="I389" s="1">
        <v>45300</v>
      </c>
      <c r="J389" t="s">
        <v>57</v>
      </c>
      <c r="K389">
        <v>3</v>
      </c>
      <c r="L389">
        <v>166147</v>
      </c>
      <c r="M389">
        <v>49920</v>
      </c>
      <c r="N389">
        <v>23610</v>
      </c>
      <c r="O389">
        <v>135775</v>
      </c>
      <c r="P389" t="s">
        <v>51</v>
      </c>
      <c r="Q389" t="s">
        <v>26</v>
      </c>
      <c r="R389" t="s">
        <v>27</v>
      </c>
    </row>
    <row r="390" spans="1:18" x14ac:dyDescent="0.25">
      <c r="A390" t="s">
        <v>828</v>
      </c>
      <c r="B390" t="s">
        <v>829</v>
      </c>
      <c r="C390">
        <v>58</v>
      </c>
      <c r="D390" t="s">
        <v>37</v>
      </c>
      <c r="E390" t="s">
        <v>30</v>
      </c>
      <c r="F390" t="s">
        <v>46</v>
      </c>
      <c r="G390" t="s">
        <v>23</v>
      </c>
      <c r="H390" s="1">
        <v>45403</v>
      </c>
      <c r="I390" s="1">
        <v>45593</v>
      </c>
      <c r="J390" t="s">
        <v>57</v>
      </c>
      <c r="K390">
        <v>19</v>
      </c>
      <c r="L390">
        <v>145431</v>
      </c>
      <c r="M390">
        <v>44852</v>
      </c>
      <c r="N390">
        <v>4075</v>
      </c>
      <c r="O390">
        <v>74471</v>
      </c>
      <c r="P390" t="s">
        <v>41</v>
      </c>
      <c r="Q390" t="s">
        <v>58</v>
      </c>
      <c r="R390" t="s">
        <v>70</v>
      </c>
    </row>
    <row r="391" spans="1:18" x14ac:dyDescent="0.25">
      <c r="A391" t="s">
        <v>830</v>
      </c>
      <c r="B391" t="s">
        <v>831</v>
      </c>
      <c r="C391">
        <v>58</v>
      </c>
      <c r="D391" t="s">
        <v>37</v>
      </c>
      <c r="E391" t="s">
        <v>30</v>
      </c>
      <c r="F391" t="s">
        <v>75</v>
      </c>
      <c r="G391" t="s">
        <v>23</v>
      </c>
      <c r="H391" s="1">
        <v>45304</v>
      </c>
      <c r="I391" s="1">
        <v>45635</v>
      </c>
      <c r="J391" t="s">
        <v>24</v>
      </c>
      <c r="K391">
        <v>15</v>
      </c>
      <c r="L391">
        <v>134048</v>
      </c>
      <c r="M391">
        <v>2695</v>
      </c>
      <c r="N391">
        <v>25951</v>
      </c>
      <c r="O391">
        <v>249548</v>
      </c>
      <c r="P391" t="s">
        <v>63</v>
      </c>
      <c r="Q391" t="s">
        <v>47</v>
      </c>
      <c r="R391" t="s">
        <v>27</v>
      </c>
    </row>
    <row r="392" spans="1:18" x14ac:dyDescent="0.25">
      <c r="A392" t="s">
        <v>832</v>
      </c>
      <c r="B392" t="s">
        <v>833</v>
      </c>
      <c r="C392">
        <v>86</v>
      </c>
      <c r="D392" t="s">
        <v>37</v>
      </c>
      <c r="E392" t="s">
        <v>21</v>
      </c>
      <c r="F392" t="s">
        <v>31</v>
      </c>
      <c r="G392" t="s">
        <v>39</v>
      </c>
      <c r="H392" s="1">
        <v>45377</v>
      </c>
      <c r="I392" s="1">
        <v>45624</v>
      </c>
      <c r="J392" t="s">
        <v>32</v>
      </c>
      <c r="K392">
        <v>4</v>
      </c>
      <c r="L392">
        <v>47056</v>
      </c>
      <c r="M392">
        <v>15821</v>
      </c>
      <c r="N392">
        <v>2918</v>
      </c>
      <c r="O392">
        <v>227386</v>
      </c>
      <c r="P392" t="s">
        <v>41</v>
      </c>
      <c r="Q392" t="s">
        <v>33</v>
      </c>
      <c r="R392" t="s">
        <v>34</v>
      </c>
    </row>
    <row r="393" spans="1:18" x14ac:dyDescent="0.25">
      <c r="A393" t="s">
        <v>834</v>
      </c>
      <c r="B393" t="s">
        <v>835</v>
      </c>
      <c r="C393">
        <v>49</v>
      </c>
      <c r="D393" t="s">
        <v>37</v>
      </c>
      <c r="E393" t="s">
        <v>45</v>
      </c>
      <c r="F393" t="s">
        <v>75</v>
      </c>
      <c r="G393" t="s">
        <v>23</v>
      </c>
      <c r="H393" s="1">
        <v>45525</v>
      </c>
      <c r="I393" s="1">
        <v>45368</v>
      </c>
      <c r="J393" t="s">
        <v>57</v>
      </c>
      <c r="K393">
        <v>12</v>
      </c>
      <c r="L393">
        <v>56831</v>
      </c>
      <c r="M393">
        <v>4262</v>
      </c>
      <c r="N393">
        <v>4698</v>
      </c>
      <c r="O393">
        <v>51298</v>
      </c>
      <c r="P393" t="s">
        <v>63</v>
      </c>
      <c r="Q393" t="s">
        <v>33</v>
      </c>
      <c r="R393" t="s">
        <v>70</v>
      </c>
    </row>
    <row r="394" spans="1:18" x14ac:dyDescent="0.25">
      <c r="A394" t="s">
        <v>836</v>
      </c>
      <c r="B394" t="s">
        <v>837</v>
      </c>
      <c r="C394">
        <v>52</v>
      </c>
      <c r="D394" t="s">
        <v>20</v>
      </c>
      <c r="E394" t="s">
        <v>45</v>
      </c>
      <c r="F394" t="s">
        <v>38</v>
      </c>
      <c r="G394" t="s">
        <v>80</v>
      </c>
      <c r="H394" s="1">
        <v>45381</v>
      </c>
      <c r="I394" s="1">
        <v>45466</v>
      </c>
      <c r="J394" t="s">
        <v>40</v>
      </c>
      <c r="K394">
        <v>6</v>
      </c>
      <c r="L394">
        <v>64191</v>
      </c>
      <c r="M394">
        <v>2445</v>
      </c>
      <c r="N394">
        <v>1501</v>
      </c>
      <c r="O394">
        <v>202180</v>
      </c>
      <c r="P394" t="s">
        <v>41</v>
      </c>
      <c r="Q394" t="s">
        <v>47</v>
      </c>
      <c r="R394" t="s">
        <v>70</v>
      </c>
    </row>
    <row r="395" spans="1:18" x14ac:dyDescent="0.25">
      <c r="A395" t="s">
        <v>838</v>
      </c>
      <c r="B395" t="s">
        <v>839</v>
      </c>
      <c r="C395">
        <v>42</v>
      </c>
      <c r="D395" t="s">
        <v>20</v>
      </c>
      <c r="E395" t="s">
        <v>50</v>
      </c>
      <c r="F395" t="s">
        <v>38</v>
      </c>
      <c r="G395" t="s">
        <v>80</v>
      </c>
      <c r="H395" s="1">
        <v>45605</v>
      </c>
      <c r="I395" s="1">
        <v>45339</v>
      </c>
      <c r="J395" t="s">
        <v>57</v>
      </c>
      <c r="K395">
        <v>19</v>
      </c>
      <c r="L395">
        <v>126948</v>
      </c>
      <c r="M395">
        <v>17436</v>
      </c>
      <c r="N395">
        <v>22128</v>
      </c>
      <c r="O395">
        <v>56924</v>
      </c>
      <c r="P395" t="s">
        <v>63</v>
      </c>
      <c r="Q395" t="s">
        <v>33</v>
      </c>
      <c r="R395" t="s">
        <v>34</v>
      </c>
    </row>
    <row r="396" spans="1:18" x14ac:dyDescent="0.25">
      <c r="A396" t="s">
        <v>840</v>
      </c>
      <c r="B396" t="s">
        <v>841</v>
      </c>
      <c r="C396">
        <v>70</v>
      </c>
      <c r="D396" t="s">
        <v>20</v>
      </c>
      <c r="E396" t="s">
        <v>30</v>
      </c>
      <c r="F396" t="s">
        <v>38</v>
      </c>
      <c r="G396" t="s">
        <v>23</v>
      </c>
      <c r="H396" s="1">
        <v>45345</v>
      </c>
      <c r="I396" s="1">
        <v>45307</v>
      </c>
      <c r="J396" t="s">
        <v>24</v>
      </c>
      <c r="K396">
        <v>4</v>
      </c>
      <c r="L396">
        <v>169344</v>
      </c>
      <c r="M396">
        <v>10949</v>
      </c>
      <c r="N396">
        <v>28460</v>
      </c>
      <c r="O396">
        <v>155781</v>
      </c>
      <c r="P396" t="s">
        <v>51</v>
      </c>
      <c r="Q396" t="s">
        <v>33</v>
      </c>
      <c r="R396" t="s">
        <v>42</v>
      </c>
    </row>
    <row r="397" spans="1:18" x14ac:dyDescent="0.25">
      <c r="A397" t="s">
        <v>842</v>
      </c>
      <c r="B397" t="s">
        <v>843</v>
      </c>
      <c r="C397">
        <v>15</v>
      </c>
      <c r="D397" t="s">
        <v>37</v>
      </c>
      <c r="E397" t="s">
        <v>50</v>
      </c>
      <c r="F397" t="s">
        <v>66</v>
      </c>
      <c r="G397" t="s">
        <v>39</v>
      </c>
      <c r="H397" s="1">
        <v>45303</v>
      </c>
      <c r="I397" s="1">
        <v>45653</v>
      </c>
      <c r="J397" t="s">
        <v>32</v>
      </c>
      <c r="K397">
        <v>15</v>
      </c>
      <c r="L397">
        <v>113117</v>
      </c>
      <c r="M397">
        <v>24963</v>
      </c>
      <c r="N397">
        <v>7619</v>
      </c>
      <c r="O397">
        <v>17726</v>
      </c>
      <c r="P397" t="s">
        <v>41</v>
      </c>
      <c r="Q397" t="s">
        <v>47</v>
      </c>
      <c r="R397" t="s">
        <v>27</v>
      </c>
    </row>
    <row r="398" spans="1:18" x14ac:dyDescent="0.25">
      <c r="A398" t="s">
        <v>844</v>
      </c>
      <c r="B398" t="s">
        <v>845</v>
      </c>
      <c r="C398">
        <v>54</v>
      </c>
      <c r="D398" t="s">
        <v>20</v>
      </c>
      <c r="E398" t="s">
        <v>30</v>
      </c>
      <c r="F398" t="s">
        <v>75</v>
      </c>
      <c r="G398" t="s">
        <v>39</v>
      </c>
      <c r="H398" s="1">
        <v>45500</v>
      </c>
      <c r="I398" s="1">
        <v>45439</v>
      </c>
      <c r="J398" t="s">
        <v>24</v>
      </c>
      <c r="K398">
        <v>9</v>
      </c>
      <c r="L398">
        <v>19671</v>
      </c>
      <c r="M398">
        <v>30932</v>
      </c>
      <c r="N398">
        <v>20950</v>
      </c>
      <c r="O398">
        <v>199896</v>
      </c>
      <c r="P398" t="s">
        <v>41</v>
      </c>
      <c r="Q398" t="s">
        <v>47</v>
      </c>
      <c r="R398" t="s">
        <v>70</v>
      </c>
    </row>
    <row r="399" spans="1:18" x14ac:dyDescent="0.25">
      <c r="A399" t="s">
        <v>846</v>
      </c>
      <c r="B399" t="s">
        <v>847</v>
      </c>
      <c r="C399">
        <v>60</v>
      </c>
      <c r="D399" t="s">
        <v>37</v>
      </c>
      <c r="E399" t="s">
        <v>54</v>
      </c>
      <c r="F399" t="s">
        <v>31</v>
      </c>
      <c r="G399" t="s">
        <v>80</v>
      </c>
      <c r="H399" s="1">
        <v>45305</v>
      </c>
      <c r="I399" s="1">
        <v>45318</v>
      </c>
      <c r="J399" t="s">
        <v>40</v>
      </c>
      <c r="K399">
        <v>5</v>
      </c>
      <c r="L399">
        <v>32048</v>
      </c>
      <c r="M399">
        <v>7901</v>
      </c>
      <c r="N399">
        <v>19729</v>
      </c>
      <c r="O399">
        <v>48542</v>
      </c>
      <c r="P399" t="s">
        <v>41</v>
      </c>
      <c r="Q399" t="s">
        <v>58</v>
      </c>
      <c r="R399" t="s">
        <v>42</v>
      </c>
    </row>
    <row r="400" spans="1:18" x14ac:dyDescent="0.25">
      <c r="A400" t="s">
        <v>848</v>
      </c>
      <c r="B400" t="s">
        <v>849</v>
      </c>
      <c r="C400">
        <v>8</v>
      </c>
      <c r="D400" t="s">
        <v>20</v>
      </c>
      <c r="E400" t="s">
        <v>54</v>
      </c>
      <c r="F400" t="s">
        <v>31</v>
      </c>
      <c r="G400" t="s">
        <v>39</v>
      </c>
      <c r="H400" s="1">
        <v>45412</v>
      </c>
      <c r="I400" s="1">
        <v>45600</v>
      </c>
      <c r="J400" t="s">
        <v>40</v>
      </c>
      <c r="K400">
        <v>13</v>
      </c>
      <c r="L400">
        <v>30963</v>
      </c>
      <c r="M400">
        <v>34487</v>
      </c>
      <c r="N400">
        <v>10173</v>
      </c>
      <c r="O400">
        <v>159317</v>
      </c>
      <c r="P400" t="s">
        <v>41</v>
      </c>
      <c r="Q400" t="s">
        <v>58</v>
      </c>
      <c r="R400" t="s">
        <v>34</v>
      </c>
    </row>
    <row r="401" spans="1:18" x14ac:dyDescent="0.25">
      <c r="A401" t="s">
        <v>850</v>
      </c>
      <c r="B401" t="s">
        <v>851</v>
      </c>
      <c r="C401">
        <v>53</v>
      </c>
      <c r="D401" t="s">
        <v>20</v>
      </c>
      <c r="E401" t="s">
        <v>69</v>
      </c>
      <c r="F401" t="s">
        <v>22</v>
      </c>
      <c r="G401" t="s">
        <v>23</v>
      </c>
      <c r="H401" s="1">
        <v>45311</v>
      </c>
      <c r="I401" s="1">
        <v>45385</v>
      </c>
      <c r="J401" t="s">
        <v>40</v>
      </c>
      <c r="K401">
        <v>18</v>
      </c>
      <c r="L401">
        <v>48954</v>
      </c>
      <c r="M401">
        <v>9597</v>
      </c>
      <c r="N401">
        <v>28377</v>
      </c>
      <c r="O401">
        <v>42753</v>
      </c>
      <c r="P401" t="s">
        <v>51</v>
      </c>
      <c r="Q401" t="s">
        <v>47</v>
      </c>
      <c r="R401" t="s">
        <v>27</v>
      </c>
    </row>
    <row r="402" spans="1:18" x14ac:dyDescent="0.25">
      <c r="A402" t="s">
        <v>852</v>
      </c>
      <c r="B402" t="s">
        <v>853</v>
      </c>
      <c r="C402">
        <v>60</v>
      </c>
      <c r="D402" t="s">
        <v>20</v>
      </c>
      <c r="E402" t="s">
        <v>50</v>
      </c>
      <c r="F402" t="s">
        <v>22</v>
      </c>
      <c r="G402" t="s">
        <v>23</v>
      </c>
      <c r="H402" s="1">
        <v>45366</v>
      </c>
      <c r="I402" s="1">
        <v>45524</v>
      </c>
      <c r="J402" t="s">
        <v>24</v>
      </c>
      <c r="K402">
        <v>5</v>
      </c>
      <c r="L402">
        <v>100430</v>
      </c>
      <c r="M402">
        <v>7855</v>
      </c>
      <c r="N402">
        <v>25733</v>
      </c>
      <c r="O402">
        <v>87788</v>
      </c>
      <c r="P402" t="s">
        <v>41</v>
      </c>
      <c r="Q402" t="s">
        <v>87</v>
      </c>
      <c r="R402" t="s">
        <v>27</v>
      </c>
    </row>
    <row r="403" spans="1:18" x14ac:dyDescent="0.25">
      <c r="A403" t="s">
        <v>854</v>
      </c>
      <c r="B403" t="s">
        <v>855</v>
      </c>
      <c r="C403">
        <v>5</v>
      </c>
      <c r="D403" t="s">
        <v>37</v>
      </c>
      <c r="E403" t="s">
        <v>21</v>
      </c>
      <c r="F403" t="s">
        <v>22</v>
      </c>
      <c r="G403" t="s">
        <v>80</v>
      </c>
      <c r="H403" s="1">
        <v>45534</v>
      </c>
      <c r="I403" s="1">
        <v>45313</v>
      </c>
      <c r="J403" t="s">
        <v>57</v>
      </c>
      <c r="K403">
        <v>16</v>
      </c>
      <c r="L403">
        <v>5717</v>
      </c>
      <c r="M403">
        <v>19678</v>
      </c>
      <c r="N403">
        <v>5816</v>
      </c>
      <c r="O403">
        <v>29316</v>
      </c>
      <c r="P403" t="s">
        <v>25</v>
      </c>
      <c r="Q403" t="s">
        <v>33</v>
      </c>
      <c r="R403" t="s">
        <v>70</v>
      </c>
    </row>
    <row r="404" spans="1:18" x14ac:dyDescent="0.25">
      <c r="A404" t="s">
        <v>856</v>
      </c>
      <c r="B404" t="s">
        <v>857</v>
      </c>
      <c r="C404">
        <v>68</v>
      </c>
      <c r="D404" t="s">
        <v>20</v>
      </c>
      <c r="E404" t="s">
        <v>50</v>
      </c>
      <c r="F404" t="s">
        <v>38</v>
      </c>
      <c r="G404" t="s">
        <v>23</v>
      </c>
      <c r="H404" s="1">
        <v>45514</v>
      </c>
      <c r="I404" s="1">
        <v>45599</v>
      </c>
      <c r="J404" t="s">
        <v>24</v>
      </c>
      <c r="K404">
        <v>19</v>
      </c>
      <c r="L404">
        <v>16676</v>
      </c>
      <c r="M404">
        <v>9263</v>
      </c>
      <c r="N404">
        <v>16744</v>
      </c>
      <c r="O404">
        <v>241979</v>
      </c>
      <c r="P404" t="s">
        <v>51</v>
      </c>
      <c r="Q404" t="s">
        <v>58</v>
      </c>
      <c r="R404" t="s">
        <v>27</v>
      </c>
    </row>
    <row r="405" spans="1:18" x14ac:dyDescent="0.25">
      <c r="A405" t="s">
        <v>858</v>
      </c>
      <c r="B405" t="s">
        <v>859</v>
      </c>
      <c r="C405">
        <v>6</v>
      </c>
      <c r="D405" t="s">
        <v>20</v>
      </c>
      <c r="E405" t="s">
        <v>21</v>
      </c>
      <c r="F405" t="s">
        <v>31</v>
      </c>
      <c r="G405" t="s">
        <v>80</v>
      </c>
      <c r="H405" s="1">
        <v>45361</v>
      </c>
      <c r="I405" s="1">
        <v>45330</v>
      </c>
      <c r="J405" t="s">
        <v>32</v>
      </c>
      <c r="K405">
        <v>14</v>
      </c>
      <c r="L405">
        <v>140506</v>
      </c>
      <c r="M405">
        <v>48288</v>
      </c>
      <c r="N405">
        <v>27856</v>
      </c>
      <c r="O405">
        <v>92698</v>
      </c>
      <c r="P405" t="s">
        <v>25</v>
      </c>
      <c r="Q405" t="s">
        <v>33</v>
      </c>
      <c r="R405" t="s">
        <v>27</v>
      </c>
    </row>
    <row r="406" spans="1:18" x14ac:dyDescent="0.25">
      <c r="A406" t="s">
        <v>860</v>
      </c>
      <c r="B406" t="s">
        <v>861</v>
      </c>
      <c r="C406">
        <v>47</v>
      </c>
      <c r="D406" t="s">
        <v>37</v>
      </c>
      <c r="E406" t="s">
        <v>45</v>
      </c>
      <c r="F406" t="s">
        <v>75</v>
      </c>
      <c r="G406" t="s">
        <v>23</v>
      </c>
      <c r="H406" s="1">
        <v>45603</v>
      </c>
      <c r="I406" s="1">
        <v>45568</v>
      </c>
      <c r="J406" t="s">
        <v>57</v>
      </c>
      <c r="K406">
        <v>16</v>
      </c>
      <c r="L406">
        <v>185882</v>
      </c>
      <c r="M406">
        <v>26805</v>
      </c>
      <c r="N406">
        <v>17306</v>
      </c>
      <c r="O406">
        <v>23960</v>
      </c>
      <c r="P406" t="s">
        <v>41</v>
      </c>
      <c r="Q406" t="s">
        <v>26</v>
      </c>
      <c r="R406" t="s">
        <v>27</v>
      </c>
    </row>
    <row r="407" spans="1:18" x14ac:dyDescent="0.25">
      <c r="A407" t="s">
        <v>862</v>
      </c>
      <c r="B407" t="s">
        <v>863</v>
      </c>
      <c r="C407">
        <v>55</v>
      </c>
      <c r="D407" t="s">
        <v>20</v>
      </c>
      <c r="E407" t="s">
        <v>50</v>
      </c>
      <c r="F407" t="s">
        <v>38</v>
      </c>
      <c r="G407" t="s">
        <v>80</v>
      </c>
      <c r="H407" s="1">
        <v>45502</v>
      </c>
      <c r="I407" s="1">
        <v>45449</v>
      </c>
      <c r="J407" t="s">
        <v>40</v>
      </c>
      <c r="K407">
        <v>15</v>
      </c>
      <c r="L407">
        <v>123696</v>
      </c>
      <c r="M407">
        <v>27143</v>
      </c>
      <c r="N407">
        <v>23599</v>
      </c>
      <c r="O407">
        <v>38791</v>
      </c>
      <c r="P407" t="s">
        <v>63</v>
      </c>
      <c r="Q407" t="s">
        <v>47</v>
      </c>
      <c r="R407" t="s">
        <v>27</v>
      </c>
    </row>
    <row r="408" spans="1:18" x14ac:dyDescent="0.25">
      <c r="A408" t="s">
        <v>864</v>
      </c>
      <c r="B408" t="s">
        <v>865</v>
      </c>
      <c r="C408">
        <v>40</v>
      </c>
      <c r="D408" t="s">
        <v>37</v>
      </c>
      <c r="E408" t="s">
        <v>45</v>
      </c>
      <c r="F408" t="s">
        <v>66</v>
      </c>
      <c r="G408" t="s">
        <v>39</v>
      </c>
      <c r="H408" s="1">
        <v>45392</v>
      </c>
      <c r="I408" s="1">
        <v>45471</v>
      </c>
      <c r="J408" t="s">
        <v>24</v>
      </c>
      <c r="K408">
        <v>4</v>
      </c>
      <c r="L408">
        <v>135830</v>
      </c>
      <c r="M408">
        <v>12874</v>
      </c>
      <c r="N408">
        <v>12373</v>
      </c>
      <c r="O408">
        <v>246838</v>
      </c>
      <c r="P408" t="s">
        <v>25</v>
      </c>
      <c r="Q408" t="s">
        <v>87</v>
      </c>
      <c r="R408" t="s">
        <v>34</v>
      </c>
    </row>
    <row r="409" spans="1:18" x14ac:dyDescent="0.25">
      <c r="A409" t="s">
        <v>866</v>
      </c>
      <c r="B409" t="s">
        <v>867</v>
      </c>
      <c r="C409">
        <v>52</v>
      </c>
      <c r="D409" t="s">
        <v>20</v>
      </c>
      <c r="E409" t="s">
        <v>54</v>
      </c>
      <c r="F409" t="s">
        <v>22</v>
      </c>
      <c r="G409" t="s">
        <v>23</v>
      </c>
      <c r="H409" s="1">
        <v>45477</v>
      </c>
      <c r="I409" s="1">
        <v>45424</v>
      </c>
      <c r="J409" t="s">
        <v>40</v>
      </c>
      <c r="K409">
        <v>7</v>
      </c>
      <c r="L409">
        <v>9994</v>
      </c>
      <c r="M409">
        <v>28529</v>
      </c>
      <c r="N409">
        <v>4766</v>
      </c>
      <c r="O409">
        <v>33216</v>
      </c>
      <c r="P409" t="s">
        <v>41</v>
      </c>
      <c r="Q409" t="s">
        <v>26</v>
      </c>
      <c r="R409" t="s">
        <v>42</v>
      </c>
    </row>
    <row r="410" spans="1:18" x14ac:dyDescent="0.25">
      <c r="A410" t="s">
        <v>868</v>
      </c>
      <c r="B410" t="s">
        <v>869</v>
      </c>
      <c r="C410">
        <v>16</v>
      </c>
      <c r="D410" t="s">
        <v>37</v>
      </c>
      <c r="E410" t="s">
        <v>54</v>
      </c>
      <c r="F410" t="s">
        <v>38</v>
      </c>
      <c r="G410" t="s">
        <v>23</v>
      </c>
      <c r="H410" s="1">
        <v>45423</v>
      </c>
      <c r="I410" s="1">
        <v>45603</v>
      </c>
      <c r="J410" t="s">
        <v>40</v>
      </c>
      <c r="K410">
        <v>16</v>
      </c>
      <c r="L410">
        <v>9234</v>
      </c>
      <c r="M410">
        <v>21866</v>
      </c>
      <c r="N410">
        <v>8049</v>
      </c>
      <c r="O410">
        <v>171539</v>
      </c>
      <c r="P410" t="s">
        <v>25</v>
      </c>
      <c r="Q410" t="s">
        <v>26</v>
      </c>
      <c r="R410" t="s">
        <v>34</v>
      </c>
    </row>
    <row r="411" spans="1:18" x14ac:dyDescent="0.25">
      <c r="A411" t="s">
        <v>870</v>
      </c>
      <c r="B411" t="s">
        <v>871</v>
      </c>
      <c r="C411">
        <v>13</v>
      </c>
      <c r="D411" t="s">
        <v>37</v>
      </c>
      <c r="E411" t="s">
        <v>69</v>
      </c>
      <c r="F411" t="s">
        <v>38</v>
      </c>
      <c r="G411" t="s">
        <v>80</v>
      </c>
      <c r="H411" s="1">
        <v>45402</v>
      </c>
      <c r="I411" s="1">
        <v>45640</v>
      </c>
      <c r="J411" t="s">
        <v>32</v>
      </c>
      <c r="K411">
        <v>8</v>
      </c>
      <c r="L411">
        <v>74300</v>
      </c>
      <c r="M411">
        <v>15079</v>
      </c>
      <c r="N411">
        <v>23200</v>
      </c>
      <c r="O411">
        <v>72427</v>
      </c>
      <c r="P411" t="s">
        <v>41</v>
      </c>
      <c r="Q411" t="s">
        <v>26</v>
      </c>
      <c r="R411" t="s">
        <v>34</v>
      </c>
    </row>
    <row r="412" spans="1:18" x14ac:dyDescent="0.25">
      <c r="A412" t="s">
        <v>872</v>
      </c>
      <c r="B412" t="s">
        <v>873</v>
      </c>
      <c r="C412">
        <v>30</v>
      </c>
      <c r="D412" t="s">
        <v>20</v>
      </c>
      <c r="E412" t="s">
        <v>50</v>
      </c>
      <c r="F412" t="s">
        <v>66</v>
      </c>
      <c r="G412" t="s">
        <v>80</v>
      </c>
      <c r="H412" s="1">
        <v>45423</v>
      </c>
      <c r="I412" s="1">
        <v>45320</v>
      </c>
      <c r="J412" t="s">
        <v>57</v>
      </c>
      <c r="K412">
        <v>17</v>
      </c>
      <c r="L412">
        <v>48949</v>
      </c>
      <c r="M412">
        <v>8243</v>
      </c>
      <c r="N412">
        <v>19594</v>
      </c>
      <c r="O412">
        <v>120470</v>
      </c>
      <c r="P412" t="s">
        <v>41</v>
      </c>
      <c r="Q412" t="s">
        <v>47</v>
      </c>
      <c r="R412" t="s">
        <v>70</v>
      </c>
    </row>
    <row r="413" spans="1:18" x14ac:dyDescent="0.25">
      <c r="A413" t="s">
        <v>874</v>
      </c>
      <c r="B413" t="s">
        <v>875</v>
      </c>
      <c r="C413">
        <v>19</v>
      </c>
      <c r="D413" t="s">
        <v>37</v>
      </c>
      <c r="E413" t="s">
        <v>45</v>
      </c>
      <c r="F413" t="s">
        <v>46</v>
      </c>
      <c r="G413" t="s">
        <v>23</v>
      </c>
      <c r="H413" s="1">
        <v>45311</v>
      </c>
      <c r="I413" s="1">
        <v>45552</v>
      </c>
      <c r="J413" t="s">
        <v>32</v>
      </c>
      <c r="K413">
        <v>16</v>
      </c>
      <c r="L413">
        <v>42405</v>
      </c>
      <c r="M413">
        <v>30872</v>
      </c>
      <c r="N413">
        <v>25528</v>
      </c>
      <c r="O413">
        <v>201119</v>
      </c>
      <c r="P413" t="s">
        <v>41</v>
      </c>
      <c r="Q413" t="s">
        <v>58</v>
      </c>
      <c r="R413" t="s">
        <v>27</v>
      </c>
    </row>
    <row r="414" spans="1:18" x14ac:dyDescent="0.25">
      <c r="A414" t="s">
        <v>876</v>
      </c>
      <c r="B414" t="s">
        <v>877</v>
      </c>
      <c r="C414">
        <v>17</v>
      </c>
      <c r="D414" t="s">
        <v>37</v>
      </c>
      <c r="E414" t="s">
        <v>21</v>
      </c>
      <c r="F414" t="s">
        <v>31</v>
      </c>
      <c r="G414" t="s">
        <v>80</v>
      </c>
      <c r="H414" s="1">
        <v>45315</v>
      </c>
      <c r="I414" s="1">
        <v>45368</v>
      </c>
      <c r="J414" t="s">
        <v>32</v>
      </c>
      <c r="K414">
        <v>10</v>
      </c>
      <c r="L414">
        <v>39872</v>
      </c>
      <c r="M414">
        <v>10018</v>
      </c>
      <c r="N414">
        <v>11089</v>
      </c>
      <c r="O414">
        <v>81290</v>
      </c>
      <c r="P414" t="s">
        <v>63</v>
      </c>
      <c r="Q414" t="s">
        <v>47</v>
      </c>
      <c r="R414" t="s">
        <v>34</v>
      </c>
    </row>
    <row r="415" spans="1:18" x14ac:dyDescent="0.25">
      <c r="A415" t="s">
        <v>878</v>
      </c>
      <c r="B415" t="s">
        <v>879</v>
      </c>
      <c r="C415">
        <v>63</v>
      </c>
      <c r="D415" t="s">
        <v>37</v>
      </c>
      <c r="E415" t="s">
        <v>54</v>
      </c>
      <c r="F415" t="s">
        <v>75</v>
      </c>
      <c r="G415" t="s">
        <v>23</v>
      </c>
      <c r="H415" s="1">
        <v>45518</v>
      </c>
      <c r="I415" s="1">
        <v>45359</v>
      </c>
      <c r="J415" t="s">
        <v>32</v>
      </c>
      <c r="K415">
        <v>10</v>
      </c>
      <c r="L415">
        <v>47215</v>
      </c>
      <c r="M415">
        <v>13100</v>
      </c>
      <c r="N415">
        <v>24953</v>
      </c>
      <c r="O415">
        <v>55014</v>
      </c>
      <c r="P415" t="s">
        <v>25</v>
      </c>
      <c r="Q415" t="s">
        <v>58</v>
      </c>
      <c r="R415" t="s">
        <v>27</v>
      </c>
    </row>
    <row r="416" spans="1:18" x14ac:dyDescent="0.25">
      <c r="A416" t="s">
        <v>880</v>
      </c>
      <c r="B416" t="s">
        <v>881</v>
      </c>
      <c r="C416">
        <v>19</v>
      </c>
      <c r="D416" t="s">
        <v>37</v>
      </c>
      <c r="E416" t="s">
        <v>54</v>
      </c>
      <c r="F416" t="s">
        <v>46</v>
      </c>
      <c r="G416" t="s">
        <v>39</v>
      </c>
      <c r="H416" s="1">
        <v>45445</v>
      </c>
      <c r="I416" s="1">
        <v>45634</v>
      </c>
      <c r="J416" t="s">
        <v>40</v>
      </c>
      <c r="K416">
        <v>2</v>
      </c>
      <c r="L416">
        <v>28185</v>
      </c>
      <c r="M416">
        <v>20800</v>
      </c>
      <c r="N416">
        <v>27051</v>
      </c>
      <c r="O416">
        <v>143150</v>
      </c>
      <c r="P416" t="s">
        <v>51</v>
      </c>
      <c r="Q416" t="s">
        <v>26</v>
      </c>
      <c r="R416" t="s">
        <v>34</v>
      </c>
    </row>
    <row r="417" spans="1:18" x14ac:dyDescent="0.25">
      <c r="A417" t="s">
        <v>882</v>
      </c>
      <c r="B417" t="s">
        <v>883</v>
      </c>
      <c r="C417">
        <v>58</v>
      </c>
      <c r="D417" t="s">
        <v>37</v>
      </c>
      <c r="E417" t="s">
        <v>21</v>
      </c>
      <c r="F417" t="s">
        <v>22</v>
      </c>
      <c r="G417" t="s">
        <v>80</v>
      </c>
      <c r="H417" s="1">
        <v>45584</v>
      </c>
      <c r="I417" s="1">
        <v>45486</v>
      </c>
      <c r="J417" t="s">
        <v>32</v>
      </c>
      <c r="K417">
        <v>9</v>
      </c>
      <c r="L417">
        <v>179514</v>
      </c>
      <c r="M417">
        <v>27910</v>
      </c>
      <c r="N417">
        <v>2157</v>
      </c>
      <c r="O417">
        <v>217461</v>
      </c>
      <c r="P417" t="s">
        <v>51</v>
      </c>
      <c r="Q417" t="s">
        <v>26</v>
      </c>
      <c r="R417" t="s">
        <v>34</v>
      </c>
    </row>
    <row r="418" spans="1:18" x14ac:dyDescent="0.25">
      <c r="A418" t="s">
        <v>884</v>
      </c>
      <c r="B418" t="s">
        <v>885</v>
      </c>
      <c r="C418">
        <v>55</v>
      </c>
      <c r="D418" t="s">
        <v>37</v>
      </c>
      <c r="E418" t="s">
        <v>45</v>
      </c>
      <c r="F418" t="s">
        <v>38</v>
      </c>
      <c r="G418" t="s">
        <v>23</v>
      </c>
      <c r="H418" s="1">
        <v>45521</v>
      </c>
      <c r="I418" s="1">
        <v>45454</v>
      </c>
      <c r="J418" t="s">
        <v>32</v>
      </c>
      <c r="K418">
        <v>17</v>
      </c>
      <c r="L418">
        <v>187831</v>
      </c>
      <c r="M418">
        <v>30437</v>
      </c>
      <c r="N418">
        <v>19425</v>
      </c>
      <c r="O418">
        <v>58519</v>
      </c>
      <c r="P418" t="s">
        <v>51</v>
      </c>
      <c r="Q418" t="s">
        <v>87</v>
      </c>
      <c r="R418" t="s">
        <v>70</v>
      </c>
    </row>
    <row r="419" spans="1:18" x14ac:dyDescent="0.25">
      <c r="A419" t="s">
        <v>886</v>
      </c>
      <c r="B419" t="s">
        <v>887</v>
      </c>
      <c r="C419">
        <v>62</v>
      </c>
      <c r="D419" t="s">
        <v>20</v>
      </c>
      <c r="E419" t="s">
        <v>45</v>
      </c>
      <c r="F419" t="s">
        <v>66</v>
      </c>
      <c r="G419" t="s">
        <v>39</v>
      </c>
      <c r="H419" s="1">
        <v>45601</v>
      </c>
      <c r="I419" s="1">
        <v>45639</v>
      </c>
      <c r="J419" t="s">
        <v>57</v>
      </c>
      <c r="K419">
        <v>11</v>
      </c>
      <c r="L419">
        <v>46153</v>
      </c>
      <c r="M419">
        <v>38588</v>
      </c>
      <c r="N419">
        <v>7263</v>
      </c>
      <c r="O419">
        <v>12042</v>
      </c>
      <c r="P419" t="s">
        <v>51</v>
      </c>
      <c r="Q419" t="s">
        <v>58</v>
      </c>
      <c r="R419" t="s">
        <v>42</v>
      </c>
    </row>
    <row r="420" spans="1:18" x14ac:dyDescent="0.25">
      <c r="A420" t="s">
        <v>888</v>
      </c>
      <c r="B420" t="s">
        <v>889</v>
      </c>
      <c r="C420">
        <v>23</v>
      </c>
      <c r="D420" t="s">
        <v>37</v>
      </c>
      <c r="E420" t="s">
        <v>50</v>
      </c>
      <c r="F420" t="s">
        <v>66</v>
      </c>
      <c r="G420" t="s">
        <v>39</v>
      </c>
      <c r="H420" s="1">
        <v>45650</v>
      </c>
      <c r="I420" s="1">
        <v>45653</v>
      </c>
      <c r="J420" t="s">
        <v>57</v>
      </c>
      <c r="K420">
        <v>10</v>
      </c>
      <c r="L420">
        <v>82535</v>
      </c>
      <c r="M420">
        <v>12001</v>
      </c>
      <c r="N420">
        <v>19959</v>
      </c>
      <c r="O420">
        <v>57052</v>
      </c>
      <c r="P420" t="s">
        <v>41</v>
      </c>
      <c r="Q420" t="s">
        <v>26</v>
      </c>
      <c r="R420" t="s">
        <v>42</v>
      </c>
    </row>
    <row r="421" spans="1:18" x14ac:dyDescent="0.25">
      <c r="A421" t="s">
        <v>890</v>
      </c>
      <c r="B421" t="s">
        <v>891</v>
      </c>
      <c r="C421">
        <v>9</v>
      </c>
      <c r="D421" t="s">
        <v>37</v>
      </c>
      <c r="E421" t="s">
        <v>50</v>
      </c>
      <c r="F421" t="s">
        <v>31</v>
      </c>
      <c r="G421" t="s">
        <v>23</v>
      </c>
      <c r="H421" s="1">
        <v>45493</v>
      </c>
      <c r="I421" s="1">
        <v>45549</v>
      </c>
      <c r="J421" t="s">
        <v>32</v>
      </c>
      <c r="K421">
        <v>17</v>
      </c>
      <c r="L421">
        <v>138653</v>
      </c>
      <c r="M421">
        <v>47675</v>
      </c>
      <c r="N421">
        <v>3664</v>
      </c>
      <c r="O421">
        <v>22389</v>
      </c>
      <c r="P421" t="s">
        <v>25</v>
      </c>
      <c r="Q421" t="s">
        <v>33</v>
      </c>
      <c r="R421" t="s">
        <v>34</v>
      </c>
    </row>
    <row r="422" spans="1:18" x14ac:dyDescent="0.25">
      <c r="A422" t="s">
        <v>892</v>
      </c>
      <c r="B422" t="s">
        <v>893</v>
      </c>
      <c r="C422">
        <v>12</v>
      </c>
      <c r="D422" t="s">
        <v>20</v>
      </c>
      <c r="E422" t="s">
        <v>30</v>
      </c>
      <c r="F422" t="s">
        <v>46</v>
      </c>
      <c r="G422" t="s">
        <v>80</v>
      </c>
      <c r="H422" s="1">
        <v>45329</v>
      </c>
      <c r="I422" s="1">
        <v>45364</v>
      </c>
      <c r="J422" t="s">
        <v>57</v>
      </c>
      <c r="K422">
        <v>4</v>
      </c>
      <c r="L422">
        <v>56717</v>
      </c>
      <c r="M422">
        <v>20942</v>
      </c>
      <c r="N422">
        <v>28042</v>
      </c>
      <c r="O422">
        <v>103961</v>
      </c>
      <c r="P422" t="s">
        <v>25</v>
      </c>
      <c r="Q422" t="s">
        <v>87</v>
      </c>
      <c r="R422" t="s">
        <v>70</v>
      </c>
    </row>
    <row r="423" spans="1:18" x14ac:dyDescent="0.25">
      <c r="A423" t="s">
        <v>894</v>
      </c>
      <c r="B423" t="s">
        <v>895</v>
      </c>
      <c r="C423">
        <v>1</v>
      </c>
      <c r="D423" t="s">
        <v>20</v>
      </c>
      <c r="E423" t="s">
        <v>30</v>
      </c>
      <c r="F423" t="s">
        <v>31</v>
      </c>
      <c r="G423" t="s">
        <v>23</v>
      </c>
      <c r="H423" s="1">
        <v>45551</v>
      </c>
      <c r="I423" s="1">
        <v>45379</v>
      </c>
      <c r="J423" t="s">
        <v>57</v>
      </c>
      <c r="K423">
        <v>16</v>
      </c>
      <c r="L423">
        <v>7763</v>
      </c>
      <c r="M423">
        <v>21862</v>
      </c>
      <c r="N423">
        <v>18937</v>
      </c>
      <c r="O423">
        <v>76111</v>
      </c>
      <c r="P423" t="s">
        <v>63</v>
      </c>
      <c r="Q423" t="s">
        <v>47</v>
      </c>
      <c r="R423" t="s">
        <v>27</v>
      </c>
    </row>
    <row r="424" spans="1:18" x14ac:dyDescent="0.25">
      <c r="A424" t="s">
        <v>896</v>
      </c>
      <c r="B424" t="s">
        <v>897</v>
      </c>
      <c r="C424">
        <v>58</v>
      </c>
      <c r="D424" t="s">
        <v>20</v>
      </c>
      <c r="E424" t="s">
        <v>69</v>
      </c>
      <c r="F424" t="s">
        <v>38</v>
      </c>
      <c r="G424" t="s">
        <v>39</v>
      </c>
      <c r="H424" s="1">
        <v>45479</v>
      </c>
      <c r="I424" s="1">
        <v>45554</v>
      </c>
      <c r="J424" t="s">
        <v>32</v>
      </c>
      <c r="K424">
        <v>15</v>
      </c>
      <c r="L424">
        <v>97910</v>
      </c>
      <c r="M424">
        <v>12669</v>
      </c>
      <c r="N424">
        <v>8979</v>
      </c>
      <c r="O424">
        <v>113058</v>
      </c>
      <c r="P424" t="s">
        <v>25</v>
      </c>
      <c r="Q424" t="s">
        <v>87</v>
      </c>
      <c r="R424" t="s">
        <v>27</v>
      </c>
    </row>
    <row r="425" spans="1:18" x14ac:dyDescent="0.25">
      <c r="A425" t="s">
        <v>898</v>
      </c>
      <c r="B425" t="s">
        <v>899</v>
      </c>
      <c r="C425">
        <v>1</v>
      </c>
      <c r="D425" t="s">
        <v>20</v>
      </c>
      <c r="E425" t="s">
        <v>54</v>
      </c>
      <c r="F425" t="s">
        <v>31</v>
      </c>
      <c r="G425" t="s">
        <v>23</v>
      </c>
      <c r="H425" s="1">
        <v>45348</v>
      </c>
      <c r="I425" s="1">
        <v>45506</v>
      </c>
      <c r="J425" t="s">
        <v>40</v>
      </c>
      <c r="K425">
        <v>5</v>
      </c>
      <c r="L425">
        <v>60480</v>
      </c>
      <c r="M425">
        <v>16916</v>
      </c>
      <c r="N425">
        <v>6237</v>
      </c>
      <c r="O425">
        <v>101715</v>
      </c>
      <c r="P425" t="s">
        <v>25</v>
      </c>
      <c r="Q425" t="s">
        <v>33</v>
      </c>
      <c r="R425" t="s">
        <v>34</v>
      </c>
    </row>
    <row r="426" spans="1:18" x14ac:dyDescent="0.25">
      <c r="A426" t="s">
        <v>900</v>
      </c>
      <c r="B426" t="s">
        <v>901</v>
      </c>
      <c r="C426">
        <v>34</v>
      </c>
      <c r="D426" t="s">
        <v>20</v>
      </c>
      <c r="E426" t="s">
        <v>50</v>
      </c>
      <c r="F426" t="s">
        <v>75</v>
      </c>
      <c r="G426" t="s">
        <v>80</v>
      </c>
      <c r="H426" s="1">
        <v>45311</v>
      </c>
      <c r="I426" s="1">
        <v>45445</v>
      </c>
      <c r="J426" t="s">
        <v>32</v>
      </c>
      <c r="K426">
        <v>6</v>
      </c>
      <c r="L426">
        <v>174831</v>
      </c>
      <c r="M426">
        <v>11878</v>
      </c>
      <c r="N426">
        <v>20101</v>
      </c>
      <c r="O426">
        <v>58733</v>
      </c>
      <c r="P426" t="s">
        <v>25</v>
      </c>
      <c r="Q426" t="s">
        <v>58</v>
      </c>
      <c r="R426" t="s">
        <v>42</v>
      </c>
    </row>
    <row r="427" spans="1:18" x14ac:dyDescent="0.25">
      <c r="A427" t="s">
        <v>902</v>
      </c>
      <c r="B427" t="s">
        <v>903</v>
      </c>
      <c r="C427">
        <v>48</v>
      </c>
      <c r="D427" t="s">
        <v>20</v>
      </c>
      <c r="E427" t="s">
        <v>45</v>
      </c>
      <c r="F427" t="s">
        <v>66</v>
      </c>
      <c r="G427" t="s">
        <v>39</v>
      </c>
      <c r="H427" s="1">
        <v>45564</v>
      </c>
      <c r="I427" s="1">
        <v>45502</v>
      </c>
      <c r="J427" t="s">
        <v>57</v>
      </c>
      <c r="K427">
        <v>17</v>
      </c>
      <c r="L427">
        <v>123094</v>
      </c>
      <c r="M427">
        <v>3985</v>
      </c>
      <c r="N427">
        <v>28930</v>
      </c>
      <c r="O427">
        <v>42754</v>
      </c>
      <c r="P427" t="s">
        <v>63</v>
      </c>
      <c r="Q427" t="s">
        <v>47</v>
      </c>
      <c r="R427" t="s">
        <v>70</v>
      </c>
    </row>
    <row r="428" spans="1:18" x14ac:dyDescent="0.25">
      <c r="A428" t="s">
        <v>904</v>
      </c>
      <c r="B428" t="s">
        <v>905</v>
      </c>
      <c r="C428">
        <v>89</v>
      </c>
      <c r="D428" t="s">
        <v>20</v>
      </c>
      <c r="E428" t="s">
        <v>21</v>
      </c>
      <c r="F428" t="s">
        <v>66</v>
      </c>
      <c r="G428" t="s">
        <v>23</v>
      </c>
      <c r="H428" s="1">
        <v>45410</v>
      </c>
      <c r="I428" s="1">
        <v>45353</v>
      </c>
      <c r="J428" t="s">
        <v>40</v>
      </c>
      <c r="K428">
        <v>1</v>
      </c>
      <c r="L428">
        <v>161379</v>
      </c>
      <c r="M428">
        <v>33369</v>
      </c>
      <c r="N428">
        <v>18331</v>
      </c>
      <c r="O428">
        <v>157696</v>
      </c>
      <c r="P428" t="s">
        <v>51</v>
      </c>
      <c r="Q428" t="s">
        <v>47</v>
      </c>
      <c r="R428" t="s">
        <v>42</v>
      </c>
    </row>
    <row r="429" spans="1:18" x14ac:dyDescent="0.25">
      <c r="A429" t="s">
        <v>906</v>
      </c>
      <c r="B429" t="s">
        <v>907</v>
      </c>
      <c r="C429">
        <v>1</v>
      </c>
      <c r="D429" t="s">
        <v>37</v>
      </c>
      <c r="E429" t="s">
        <v>45</v>
      </c>
      <c r="F429" t="s">
        <v>22</v>
      </c>
      <c r="G429" t="s">
        <v>80</v>
      </c>
      <c r="H429" s="1">
        <v>45362</v>
      </c>
      <c r="I429" s="1">
        <v>45560</v>
      </c>
      <c r="J429" t="s">
        <v>24</v>
      </c>
      <c r="K429">
        <v>19</v>
      </c>
      <c r="L429">
        <v>16064</v>
      </c>
      <c r="M429">
        <v>9112</v>
      </c>
      <c r="N429">
        <v>6509</v>
      </c>
      <c r="O429">
        <v>93886</v>
      </c>
      <c r="P429" t="s">
        <v>25</v>
      </c>
      <c r="Q429" t="s">
        <v>58</v>
      </c>
      <c r="R429" t="s">
        <v>27</v>
      </c>
    </row>
    <row r="430" spans="1:18" x14ac:dyDescent="0.25">
      <c r="A430" t="s">
        <v>908</v>
      </c>
      <c r="B430" t="s">
        <v>909</v>
      </c>
      <c r="C430">
        <v>16</v>
      </c>
      <c r="D430" t="s">
        <v>37</v>
      </c>
      <c r="E430" t="s">
        <v>54</v>
      </c>
      <c r="F430" t="s">
        <v>22</v>
      </c>
      <c r="G430" t="s">
        <v>39</v>
      </c>
      <c r="H430" s="1">
        <v>45295</v>
      </c>
      <c r="I430" s="1">
        <v>45554</v>
      </c>
      <c r="J430" t="s">
        <v>40</v>
      </c>
      <c r="K430">
        <v>4</v>
      </c>
      <c r="L430">
        <v>81848</v>
      </c>
      <c r="M430">
        <v>42235</v>
      </c>
      <c r="N430">
        <v>17491</v>
      </c>
      <c r="O430">
        <v>165753</v>
      </c>
      <c r="P430" t="s">
        <v>63</v>
      </c>
      <c r="Q430" t="s">
        <v>87</v>
      </c>
      <c r="R430" t="s">
        <v>42</v>
      </c>
    </row>
    <row r="431" spans="1:18" x14ac:dyDescent="0.25">
      <c r="A431" t="s">
        <v>910</v>
      </c>
      <c r="B431" t="s">
        <v>911</v>
      </c>
      <c r="C431">
        <v>61</v>
      </c>
      <c r="D431" t="s">
        <v>20</v>
      </c>
      <c r="E431" t="s">
        <v>30</v>
      </c>
      <c r="F431" t="s">
        <v>38</v>
      </c>
      <c r="G431" t="s">
        <v>80</v>
      </c>
      <c r="H431" s="1">
        <v>45512</v>
      </c>
      <c r="I431" s="1">
        <v>45510</v>
      </c>
      <c r="J431" t="s">
        <v>57</v>
      </c>
      <c r="K431">
        <v>17</v>
      </c>
      <c r="L431">
        <v>42548</v>
      </c>
      <c r="M431">
        <v>19931</v>
      </c>
      <c r="N431">
        <v>5052</v>
      </c>
      <c r="O431">
        <v>97524</v>
      </c>
      <c r="P431" t="s">
        <v>63</v>
      </c>
      <c r="Q431" t="s">
        <v>26</v>
      </c>
      <c r="R431" t="s">
        <v>27</v>
      </c>
    </row>
    <row r="432" spans="1:18" x14ac:dyDescent="0.25">
      <c r="A432" t="s">
        <v>912</v>
      </c>
      <c r="B432" t="s">
        <v>913</v>
      </c>
      <c r="C432">
        <v>64</v>
      </c>
      <c r="D432" t="s">
        <v>37</v>
      </c>
      <c r="E432" t="s">
        <v>45</v>
      </c>
      <c r="F432" t="s">
        <v>75</v>
      </c>
      <c r="G432" t="s">
        <v>39</v>
      </c>
      <c r="H432" s="1">
        <v>45305</v>
      </c>
      <c r="I432" s="1">
        <v>45575</v>
      </c>
      <c r="J432" t="s">
        <v>40</v>
      </c>
      <c r="K432">
        <v>9</v>
      </c>
      <c r="L432">
        <v>173017</v>
      </c>
      <c r="M432">
        <v>28340</v>
      </c>
      <c r="N432">
        <v>18648</v>
      </c>
      <c r="O432">
        <v>89006</v>
      </c>
      <c r="P432" t="s">
        <v>41</v>
      </c>
      <c r="Q432" t="s">
        <v>87</v>
      </c>
      <c r="R432" t="s">
        <v>70</v>
      </c>
    </row>
    <row r="433" spans="1:18" x14ac:dyDescent="0.25">
      <c r="A433" t="s">
        <v>914</v>
      </c>
      <c r="B433" t="s">
        <v>915</v>
      </c>
      <c r="C433">
        <v>63</v>
      </c>
      <c r="D433" t="s">
        <v>37</v>
      </c>
      <c r="E433" t="s">
        <v>69</v>
      </c>
      <c r="F433" t="s">
        <v>46</v>
      </c>
      <c r="G433" t="s">
        <v>23</v>
      </c>
      <c r="H433" s="1">
        <v>45294</v>
      </c>
      <c r="I433" s="1">
        <v>45428</v>
      </c>
      <c r="J433" t="s">
        <v>32</v>
      </c>
      <c r="K433">
        <v>2</v>
      </c>
      <c r="L433">
        <v>184009</v>
      </c>
      <c r="M433">
        <v>1336</v>
      </c>
      <c r="N433">
        <v>9917</v>
      </c>
      <c r="O433">
        <v>32704</v>
      </c>
      <c r="P433" t="s">
        <v>63</v>
      </c>
      <c r="Q433" t="s">
        <v>33</v>
      </c>
      <c r="R433" t="s">
        <v>70</v>
      </c>
    </row>
    <row r="434" spans="1:18" x14ac:dyDescent="0.25">
      <c r="A434" t="s">
        <v>916</v>
      </c>
      <c r="B434" t="s">
        <v>917</v>
      </c>
      <c r="C434">
        <v>69</v>
      </c>
      <c r="D434" t="s">
        <v>37</v>
      </c>
      <c r="E434" t="s">
        <v>54</v>
      </c>
      <c r="F434" t="s">
        <v>31</v>
      </c>
      <c r="G434" t="s">
        <v>80</v>
      </c>
      <c r="H434" s="1">
        <v>45507</v>
      </c>
      <c r="I434" s="1">
        <v>45654</v>
      </c>
      <c r="J434" t="s">
        <v>24</v>
      </c>
      <c r="K434">
        <v>8</v>
      </c>
      <c r="L434">
        <v>11476</v>
      </c>
      <c r="M434">
        <v>43933</v>
      </c>
      <c r="N434">
        <v>26311</v>
      </c>
      <c r="O434">
        <v>243344</v>
      </c>
      <c r="P434" t="s">
        <v>51</v>
      </c>
      <c r="Q434" t="s">
        <v>26</v>
      </c>
      <c r="R434" t="s">
        <v>34</v>
      </c>
    </row>
    <row r="435" spans="1:18" x14ac:dyDescent="0.25">
      <c r="A435" t="s">
        <v>918</v>
      </c>
      <c r="B435" t="s">
        <v>919</v>
      </c>
      <c r="C435">
        <v>22</v>
      </c>
      <c r="D435" t="s">
        <v>20</v>
      </c>
      <c r="E435" t="s">
        <v>30</v>
      </c>
      <c r="F435" t="s">
        <v>38</v>
      </c>
      <c r="G435" t="s">
        <v>39</v>
      </c>
      <c r="H435" s="1">
        <v>45520</v>
      </c>
      <c r="I435" s="1">
        <v>45385</v>
      </c>
      <c r="J435" t="s">
        <v>24</v>
      </c>
      <c r="K435">
        <v>15</v>
      </c>
      <c r="L435">
        <v>187828</v>
      </c>
      <c r="M435">
        <v>20363</v>
      </c>
      <c r="N435">
        <v>9721</v>
      </c>
      <c r="O435">
        <v>102913</v>
      </c>
      <c r="P435" t="s">
        <v>25</v>
      </c>
      <c r="Q435" t="s">
        <v>87</v>
      </c>
      <c r="R435" t="s">
        <v>34</v>
      </c>
    </row>
    <row r="436" spans="1:18" x14ac:dyDescent="0.25">
      <c r="A436" t="s">
        <v>920</v>
      </c>
      <c r="B436" t="s">
        <v>921</v>
      </c>
      <c r="C436">
        <v>67</v>
      </c>
      <c r="D436" t="s">
        <v>20</v>
      </c>
      <c r="E436" t="s">
        <v>21</v>
      </c>
      <c r="F436" t="s">
        <v>22</v>
      </c>
      <c r="G436" t="s">
        <v>80</v>
      </c>
      <c r="H436" s="1">
        <v>45627</v>
      </c>
      <c r="I436" s="1">
        <v>45401</v>
      </c>
      <c r="J436" t="s">
        <v>24</v>
      </c>
      <c r="K436">
        <v>7</v>
      </c>
      <c r="L436">
        <v>95101</v>
      </c>
      <c r="M436">
        <v>46536</v>
      </c>
      <c r="N436">
        <v>3171</v>
      </c>
      <c r="O436">
        <v>102108</v>
      </c>
      <c r="P436" t="s">
        <v>63</v>
      </c>
      <c r="Q436" t="s">
        <v>58</v>
      </c>
      <c r="R436" t="s">
        <v>42</v>
      </c>
    </row>
    <row r="437" spans="1:18" x14ac:dyDescent="0.25">
      <c r="A437" t="s">
        <v>922</v>
      </c>
      <c r="B437" t="s">
        <v>923</v>
      </c>
      <c r="C437">
        <v>76</v>
      </c>
      <c r="D437" t="s">
        <v>37</v>
      </c>
      <c r="E437" t="s">
        <v>30</v>
      </c>
      <c r="F437" t="s">
        <v>31</v>
      </c>
      <c r="G437" t="s">
        <v>80</v>
      </c>
      <c r="H437" s="1">
        <v>45477</v>
      </c>
      <c r="I437" s="1">
        <v>45533</v>
      </c>
      <c r="J437" t="s">
        <v>57</v>
      </c>
      <c r="K437">
        <v>6</v>
      </c>
      <c r="L437">
        <v>7382</v>
      </c>
      <c r="M437">
        <v>4968</v>
      </c>
      <c r="N437">
        <v>7019</v>
      </c>
      <c r="O437">
        <v>15493</v>
      </c>
      <c r="P437" t="s">
        <v>51</v>
      </c>
      <c r="Q437" t="s">
        <v>33</v>
      </c>
      <c r="R437" t="s">
        <v>70</v>
      </c>
    </row>
    <row r="438" spans="1:18" x14ac:dyDescent="0.25">
      <c r="A438" t="s">
        <v>924</v>
      </c>
      <c r="B438" t="s">
        <v>925</v>
      </c>
      <c r="C438">
        <v>26</v>
      </c>
      <c r="D438" t="s">
        <v>20</v>
      </c>
      <c r="E438" t="s">
        <v>69</v>
      </c>
      <c r="F438" t="s">
        <v>22</v>
      </c>
      <c r="G438" t="s">
        <v>23</v>
      </c>
      <c r="H438" s="1">
        <v>45346</v>
      </c>
      <c r="I438" s="1">
        <v>45647</v>
      </c>
      <c r="J438" t="s">
        <v>57</v>
      </c>
      <c r="K438">
        <v>1</v>
      </c>
      <c r="L438">
        <v>185755</v>
      </c>
      <c r="M438">
        <v>34678</v>
      </c>
      <c r="N438">
        <v>4462</v>
      </c>
      <c r="O438">
        <v>77639</v>
      </c>
      <c r="P438" t="s">
        <v>63</v>
      </c>
      <c r="Q438" t="s">
        <v>33</v>
      </c>
      <c r="R438" t="s">
        <v>70</v>
      </c>
    </row>
    <row r="439" spans="1:18" x14ac:dyDescent="0.25">
      <c r="A439" t="s">
        <v>926</v>
      </c>
      <c r="B439" t="s">
        <v>927</v>
      </c>
      <c r="C439">
        <v>16</v>
      </c>
      <c r="D439" t="s">
        <v>37</v>
      </c>
      <c r="E439" t="s">
        <v>54</v>
      </c>
      <c r="F439" t="s">
        <v>31</v>
      </c>
      <c r="G439" t="s">
        <v>80</v>
      </c>
      <c r="H439" s="1">
        <v>45545</v>
      </c>
      <c r="I439" s="1">
        <v>45434</v>
      </c>
      <c r="J439" t="s">
        <v>24</v>
      </c>
      <c r="K439">
        <v>15</v>
      </c>
      <c r="L439">
        <v>181348</v>
      </c>
      <c r="M439">
        <v>49400</v>
      </c>
      <c r="N439">
        <v>13234</v>
      </c>
      <c r="O439">
        <v>239452</v>
      </c>
      <c r="P439" t="s">
        <v>63</v>
      </c>
      <c r="Q439" t="s">
        <v>33</v>
      </c>
      <c r="R439" t="s">
        <v>34</v>
      </c>
    </row>
    <row r="440" spans="1:18" x14ac:dyDescent="0.25">
      <c r="A440" t="s">
        <v>928</v>
      </c>
      <c r="B440" t="s">
        <v>929</v>
      </c>
      <c r="C440">
        <v>51</v>
      </c>
      <c r="D440" t="s">
        <v>37</v>
      </c>
      <c r="E440" t="s">
        <v>21</v>
      </c>
      <c r="F440" t="s">
        <v>46</v>
      </c>
      <c r="G440" t="s">
        <v>39</v>
      </c>
      <c r="H440" s="1">
        <v>45315</v>
      </c>
      <c r="I440" s="1">
        <v>45583</v>
      </c>
      <c r="J440" t="s">
        <v>40</v>
      </c>
      <c r="K440">
        <v>7</v>
      </c>
      <c r="L440">
        <v>169474</v>
      </c>
      <c r="M440">
        <v>17279</v>
      </c>
      <c r="N440">
        <v>13622</v>
      </c>
      <c r="O440">
        <v>62383</v>
      </c>
      <c r="P440" t="s">
        <v>63</v>
      </c>
      <c r="Q440" t="s">
        <v>26</v>
      </c>
      <c r="R440" t="s">
        <v>27</v>
      </c>
    </row>
    <row r="441" spans="1:18" x14ac:dyDescent="0.25">
      <c r="A441" t="s">
        <v>930</v>
      </c>
      <c r="B441" t="s">
        <v>931</v>
      </c>
      <c r="C441">
        <v>86</v>
      </c>
      <c r="D441" t="s">
        <v>37</v>
      </c>
      <c r="E441" t="s">
        <v>69</v>
      </c>
      <c r="F441" t="s">
        <v>38</v>
      </c>
      <c r="G441" t="s">
        <v>39</v>
      </c>
      <c r="H441" s="1">
        <v>45453</v>
      </c>
      <c r="I441" s="1">
        <v>45529</v>
      </c>
      <c r="J441" t="s">
        <v>24</v>
      </c>
      <c r="K441">
        <v>17</v>
      </c>
      <c r="L441">
        <v>163018</v>
      </c>
      <c r="M441">
        <v>4129</v>
      </c>
      <c r="N441">
        <v>20061</v>
      </c>
      <c r="O441">
        <v>142066</v>
      </c>
      <c r="P441" t="s">
        <v>63</v>
      </c>
      <c r="Q441" t="s">
        <v>47</v>
      </c>
      <c r="R441" t="s">
        <v>42</v>
      </c>
    </row>
    <row r="442" spans="1:18" x14ac:dyDescent="0.25">
      <c r="A442" t="s">
        <v>932</v>
      </c>
      <c r="B442" t="s">
        <v>933</v>
      </c>
      <c r="C442">
        <v>57</v>
      </c>
      <c r="D442" t="s">
        <v>37</v>
      </c>
      <c r="E442" t="s">
        <v>30</v>
      </c>
      <c r="F442" t="s">
        <v>31</v>
      </c>
      <c r="G442" t="s">
        <v>39</v>
      </c>
      <c r="H442" s="1">
        <v>45449</v>
      </c>
      <c r="I442" s="1">
        <v>45632</v>
      </c>
      <c r="J442" t="s">
        <v>40</v>
      </c>
      <c r="K442">
        <v>2</v>
      </c>
      <c r="L442">
        <v>84698</v>
      </c>
      <c r="M442">
        <v>39215</v>
      </c>
      <c r="N442">
        <v>4222</v>
      </c>
      <c r="O442">
        <v>208352</v>
      </c>
      <c r="P442" t="s">
        <v>63</v>
      </c>
      <c r="Q442" t="s">
        <v>26</v>
      </c>
      <c r="R442" t="s">
        <v>42</v>
      </c>
    </row>
    <row r="443" spans="1:18" x14ac:dyDescent="0.25">
      <c r="A443" t="s">
        <v>934</v>
      </c>
      <c r="B443" t="s">
        <v>935</v>
      </c>
      <c r="C443">
        <v>29</v>
      </c>
      <c r="D443" t="s">
        <v>20</v>
      </c>
      <c r="E443" t="s">
        <v>69</v>
      </c>
      <c r="F443" t="s">
        <v>75</v>
      </c>
      <c r="G443" t="s">
        <v>39</v>
      </c>
      <c r="H443" s="1">
        <v>45373</v>
      </c>
      <c r="I443" s="1">
        <v>45604</v>
      </c>
      <c r="J443" t="s">
        <v>40</v>
      </c>
      <c r="K443">
        <v>9</v>
      </c>
      <c r="L443">
        <v>158407</v>
      </c>
      <c r="M443">
        <v>39897</v>
      </c>
      <c r="N443">
        <v>5406</v>
      </c>
      <c r="O443">
        <v>55234</v>
      </c>
      <c r="P443" t="s">
        <v>51</v>
      </c>
      <c r="Q443" t="s">
        <v>87</v>
      </c>
      <c r="R443" t="s">
        <v>34</v>
      </c>
    </row>
    <row r="444" spans="1:18" x14ac:dyDescent="0.25">
      <c r="A444" t="s">
        <v>936</v>
      </c>
      <c r="B444" t="s">
        <v>937</v>
      </c>
      <c r="C444">
        <v>78</v>
      </c>
      <c r="D444" t="s">
        <v>20</v>
      </c>
      <c r="E444" t="s">
        <v>54</v>
      </c>
      <c r="F444" t="s">
        <v>66</v>
      </c>
      <c r="G444" t="s">
        <v>23</v>
      </c>
      <c r="H444" s="1">
        <v>45450</v>
      </c>
      <c r="I444" s="1">
        <v>45469</v>
      </c>
      <c r="J444" t="s">
        <v>57</v>
      </c>
      <c r="K444">
        <v>9</v>
      </c>
      <c r="L444">
        <v>50095</v>
      </c>
      <c r="M444">
        <v>6850</v>
      </c>
      <c r="N444">
        <v>7763</v>
      </c>
      <c r="O444">
        <v>186363</v>
      </c>
      <c r="P444" t="s">
        <v>25</v>
      </c>
      <c r="Q444" t="s">
        <v>47</v>
      </c>
      <c r="R444" t="s">
        <v>70</v>
      </c>
    </row>
    <row r="445" spans="1:18" x14ac:dyDescent="0.25">
      <c r="A445" t="s">
        <v>938</v>
      </c>
      <c r="B445" t="s">
        <v>939</v>
      </c>
      <c r="C445">
        <v>69</v>
      </c>
      <c r="D445" t="s">
        <v>20</v>
      </c>
      <c r="E445" t="s">
        <v>50</v>
      </c>
      <c r="F445" t="s">
        <v>75</v>
      </c>
      <c r="G445" t="s">
        <v>80</v>
      </c>
      <c r="H445" s="1">
        <v>45479</v>
      </c>
      <c r="I445" s="1">
        <v>45433</v>
      </c>
      <c r="J445" t="s">
        <v>40</v>
      </c>
      <c r="K445">
        <v>13</v>
      </c>
      <c r="L445">
        <v>134974</v>
      </c>
      <c r="M445">
        <v>21588</v>
      </c>
      <c r="N445">
        <v>14199</v>
      </c>
      <c r="O445">
        <v>136674</v>
      </c>
      <c r="P445" t="s">
        <v>25</v>
      </c>
      <c r="Q445" t="s">
        <v>87</v>
      </c>
      <c r="R445" t="s">
        <v>34</v>
      </c>
    </row>
    <row r="446" spans="1:18" x14ac:dyDescent="0.25">
      <c r="A446" t="s">
        <v>940</v>
      </c>
      <c r="B446" t="s">
        <v>941</v>
      </c>
      <c r="C446">
        <v>47</v>
      </c>
      <c r="D446" t="s">
        <v>37</v>
      </c>
      <c r="E446" t="s">
        <v>69</v>
      </c>
      <c r="F446" t="s">
        <v>75</v>
      </c>
      <c r="G446" t="s">
        <v>23</v>
      </c>
      <c r="H446" s="1">
        <v>45351</v>
      </c>
      <c r="I446" s="1">
        <v>45481</v>
      </c>
      <c r="J446" t="s">
        <v>24</v>
      </c>
      <c r="K446">
        <v>6</v>
      </c>
      <c r="L446">
        <v>32197</v>
      </c>
      <c r="M446">
        <v>41214</v>
      </c>
      <c r="N446">
        <v>21938</v>
      </c>
      <c r="O446">
        <v>231940</v>
      </c>
      <c r="P446" t="s">
        <v>25</v>
      </c>
      <c r="Q446" t="s">
        <v>47</v>
      </c>
      <c r="R446" t="s">
        <v>34</v>
      </c>
    </row>
    <row r="447" spans="1:18" x14ac:dyDescent="0.25">
      <c r="A447" t="s">
        <v>942</v>
      </c>
      <c r="B447" t="s">
        <v>943</v>
      </c>
      <c r="C447">
        <v>62</v>
      </c>
      <c r="D447" t="s">
        <v>20</v>
      </c>
      <c r="E447" t="s">
        <v>69</v>
      </c>
      <c r="F447" t="s">
        <v>66</v>
      </c>
      <c r="G447" t="s">
        <v>80</v>
      </c>
      <c r="H447" s="1">
        <v>45596</v>
      </c>
      <c r="I447" s="1">
        <v>45341</v>
      </c>
      <c r="J447" t="s">
        <v>57</v>
      </c>
      <c r="K447">
        <v>6</v>
      </c>
      <c r="L447">
        <v>132619</v>
      </c>
      <c r="M447">
        <v>12949</v>
      </c>
      <c r="N447">
        <v>26551</v>
      </c>
      <c r="O447">
        <v>13594</v>
      </c>
      <c r="P447" t="s">
        <v>25</v>
      </c>
      <c r="Q447" t="s">
        <v>26</v>
      </c>
      <c r="R447" t="s">
        <v>34</v>
      </c>
    </row>
    <row r="448" spans="1:18" x14ac:dyDescent="0.25">
      <c r="A448" t="s">
        <v>944</v>
      </c>
      <c r="B448" t="s">
        <v>945</v>
      </c>
      <c r="C448">
        <v>69</v>
      </c>
      <c r="D448" t="s">
        <v>37</v>
      </c>
      <c r="E448" t="s">
        <v>30</v>
      </c>
      <c r="F448" t="s">
        <v>75</v>
      </c>
      <c r="G448" t="s">
        <v>80</v>
      </c>
      <c r="H448" s="1">
        <v>45610</v>
      </c>
      <c r="I448" s="1">
        <v>45594</v>
      </c>
      <c r="J448" t="s">
        <v>32</v>
      </c>
      <c r="K448">
        <v>3</v>
      </c>
      <c r="L448">
        <v>27010</v>
      </c>
      <c r="M448">
        <v>9519</v>
      </c>
      <c r="N448">
        <v>11588</v>
      </c>
      <c r="O448">
        <v>244907</v>
      </c>
      <c r="P448" t="s">
        <v>51</v>
      </c>
      <c r="Q448" t="s">
        <v>33</v>
      </c>
      <c r="R448" t="s">
        <v>34</v>
      </c>
    </row>
    <row r="449" spans="1:18" x14ac:dyDescent="0.25">
      <c r="A449" t="s">
        <v>946</v>
      </c>
      <c r="B449" t="s">
        <v>947</v>
      </c>
      <c r="C449">
        <v>76</v>
      </c>
      <c r="D449" t="s">
        <v>20</v>
      </c>
      <c r="E449" t="s">
        <v>30</v>
      </c>
      <c r="F449" t="s">
        <v>31</v>
      </c>
      <c r="G449" t="s">
        <v>80</v>
      </c>
      <c r="H449" s="1">
        <v>45502</v>
      </c>
      <c r="I449" s="1">
        <v>45661</v>
      </c>
      <c r="J449" t="s">
        <v>32</v>
      </c>
      <c r="K449">
        <v>17</v>
      </c>
      <c r="L449">
        <v>160195</v>
      </c>
      <c r="M449">
        <v>27375</v>
      </c>
      <c r="N449">
        <v>1308</v>
      </c>
      <c r="O449">
        <v>15371</v>
      </c>
      <c r="P449" t="s">
        <v>41</v>
      </c>
      <c r="Q449" t="s">
        <v>58</v>
      </c>
      <c r="R449" t="s">
        <v>27</v>
      </c>
    </row>
    <row r="450" spans="1:18" x14ac:dyDescent="0.25">
      <c r="A450" t="s">
        <v>948</v>
      </c>
      <c r="B450" t="s">
        <v>949</v>
      </c>
      <c r="C450">
        <v>16</v>
      </c>
      <c r="D450" t="s">
        <v>37</v>
      </c>
      <c r="E450" t="s">
        <v>21</v>
      </c>
      <c r="F450" t="s">
        <v>31</v>
      </c>
      <c r="G450" t="s">
        <v>23</v>
      </c>
      <c r="H450" s="1">
        <v>45443</v>
      </c>
      <c r="I450" s="1">
        <v>45482</v>
      </c>
      <c r="J450" t="s">
        <v>57</v>
      </c>
      <c r="K450">
        <v>17</v>
      </c>
      <c r="L450">
        <v>92923</v>
      </c>
      <c r="M450">
        <v>34082</v>
      </c>
      <c r="N450">
        <v>9670</v>
      </c>
      <c r="O450">
        <v>55315</v>
      </c>
      <c r="P450" t="s">
        <v>41</v>
      </c>
      <c r="Q450" t="s">
        <v>33</v>
      </c>
      <c r="R450" t="s">
        <v>27</v>
      </c>
    </row>
    <row r="451" spans="1:18" x14ac:dyDescent="0.25">
      <c r="A451" t="s">
        <v>950</v>
      </c>
      <c r="B451" t="s">
        <v>951</v>
      </c>
      <c r="C451">
        <v>48</v>
      </c>
      <c r="D451" t="s">
        <v>37</v>
      </c>
      <c r="E451" t="s">
        <v>30</v>
      </c>
      <c r="F451" t="s">
        <v>31</v>
      </c>
      <c r="G451" t="s">
        <v>80</v>
      </c>
      <c r="H451" s="1">
        <v>45400</v>
      </c>
      <c r="I451" s="1">
        <v>45428</v>
      </c>
      <c r="J451" t="s">
        <v>24</v>
      </c>
      <c r="K451">
        <v>12</v>
      </c>
      <c r="L451">
        <v>138962</v>
      </c>
      <c r="M451">
        <v>12737</v>
      </c>
      <c r="N451">
        <v>16760</v>
      </c>
      <c r="O451">
        <v>222636</v>
      </c>
      <c r="P451" t="s">
        <v>51</v>
      </c>
      <c r="Q451" t="s">
        <v>26</v>
      </c>
      <c r="R451" t="s">
        <v>70</v>
      </c>
    </row>
    <row r="452" spans="1:18" x14ac:dyDescent="0.25">
      <c r="A452" t="s">
        <v>952</v>
      </c>
      <c r="B452" t="s">
        <v>953</v>
      </c>
      <c r="C452">
        <v>85</v>
      </c>
      <c r="D452" t="s">
        <v>37</v>
      </c>
      <c r="E452" t="s">
        <v>45</v>
      </c>
      <c r="F452" t="s">
        <v>66</v>
      </c>
      <c r="G452" t="s">
        <v>23</v>
      </c>
      <c r="H452" s="1">
        <v>45367</v>
      </c>
      <c r="I452" s="1">
        <v>45335</v>
      </c>
      <c r="J452" t="s">
        <v>32</v>
      </c>
      <c r="K452">
        <v>16</v>
      </c>
      <c r="L452">
        <v>135526</v>
      </c>
      <c r="M452">
        <v>2134</v>
      </c>
      <c r="N452">
        <v>27539</v>
      </c>
      <c r="O452">
        <v>135251</v>
      </c>
      <c r="P452" t="s">
        <v>51</v>
      </c>
      <c r="Q452" t="s">
        <v>47</v>
      </c>
      <c r="R452" t="s">
        <v>34</v>
      </c>
    </row>
    <row r="453" spans="1:18" x14ac:dyDescent="0.25">
      <c r="A453" t="s">
        <v>954</v>
      </c>
      <c r="B453" t="s">
        <v>955</v>
      </c>
      <c r="C453">
        <v>39</v>
      </c>
      <c r="D453" t="s">
        <v>20</v>
      </c>
      <c r="E453" t="s">
        <v>54</v>
      </c>
      <c r="F453" t="s">
        <v>75</v>
      </c>
      <c r="G453" t="s">
        <v>39</v>
      </c>
      <c r="H453" s="1">
        <v>45321</v>
      </c>
      <c r="I453" s="1">
        <v>45645</v>
      </c>
      <c r="J453" t="s">
        <v>32</v>
      </c>
      <c r="K453">
        <v>15</v>
      </c>
      <c r="L453">
        <v>114162</v>
      </c>
      <c r="M453">
        <v>11938</v>
      </c>
      <c r="N453">
        <v>17609</v>
      </c>
      <c r="O453">
        <v>240520</v>
      </c>
      <c r="P453" t="s">
        <v>63</v>
      </c>
      <c r="Q453" t="s">
        <v>33</v>
      </c>
      <c r="R453" t="s">
        <v>27</v>
      </c>
    </row>
    <row r="454" spans="1:18" x14ac:dyDescent="0.25">
      <c r="A454" t="s">
        <v>956</v>
      </c>
      <c r="B454" t="s">
        <v>957</v>
      </c>
      <c r="C454">
        <v>33</v>
      </c>
      <c r="D454" t="s">
        <v>20</v>
      </c>
      <c r="E454" t="s">
        <v>54</v>
      </c>
      <c r="F454" t="s">
        <v>66</v>
      </c>
      <c r="G454" t="s">
        <v>39</v>
      </c>
      <c r="H454" s="1">
        <v>45605</v>
      </c>
      <c r="I454" s="1">
        <v>45382</v>
      </c>
      <c r="J454" t="s">
        <v>40</v>
      </c>
      <c r="K454">
        <v>13</v>
      </c>
      <c r="L454">
        <v>125927</v>
      </c>
      <c r="M454">
        <v>25486</v>
      </c>
      <c r="N454">
        <v>11193</v>
      </c>
      <c r="O454">
        <v>87526</v>
      </c>
      <c r="P454" t="s">
        <v>63</v>
      </c>
      <c r="Q454" t="s">
        <v>26</v>
      </c>
      <c r="R454" t="s">
        <v>70</v>
      </c>
    </row>
    <row r="455" spans="1:18" x14ac:dyDescent="0.25">
      <c r="A455" t="s">
        <v>958</v>
      </c>
      <c r="B455" t="s">
        <v>959</v>
      </c>
      <c r="C455">
        <v>23</v>
      </c>
      <c r="D455" t="s">
        <v>20</v>
      </c>
      <c r="E455" t="s">
        <v>50</v>
      </c>
      <c r="F455" t="s">
        <v>31</v>
      </c>
      <c r="G455" t="s">
        <v>80</v>
      </c>
      <c r="H455" s="1">
        <v>45408</v>
      </c>
      <c r="I455" s="1">
        <v>45587</v>
      </c>
      <c r="J455" t="s">
        <v>40</v>
      </c>
      <c r="K455">
        <v>1</v>
      </c>
      <c r="L455">
        <v>13026</v>
      </c>
      <c r="M455">
        <v>49356</v>
      </c>
      <c r="N455">
        <v>28438</v>
      </c>
      <c r="O455">
        <v>155698</v>
      </c>
      <c r="P455" t="s">
        <v>63</v>
      </c>
      <c r="Q455" t="s">
        <v>87</v>
      </c>
      <c r="R455" t="s">
        <v>34</v>
      </c>
    </row>
    <row r="456" spans="1:18" x14ac:dyDescent="0.25">
      <c r="A456" t="s">
        <v>960</v>
      </c>
      <c r="B456" t="s">
        <v>961</v>
      </c>
      <c r="C456">
        <v>10</v>
      </c>
      <c r="D456" t="s">
        <v>20</v>
      </c>
      <c r="E456" t="s">
        <v>50</v>
      </c>
      <c r="F456" t="s">
        <v>75</v>
      </c>
      <c r="G456" t="s">
        <v>23</v>
      </c>
      <c r="H456" s="1">
        <v>45647</v>
      </c>
      <c r="I456" s="1">
        <v>45633</v>
      </c>
      <c r="J456" t="s">
        <v>24</v>
      </c>
      <c r="K456">
        <v>17</v>
      </c>
      <c r="L456">
        <v>69925</v>
      </c>
      <c r="M456">
        <v>27096</v>
      </c>
      <c r="N456">
        <v>8201</v>
      </c>
      <c r="O456">
        <v>94005</v>
      </c>
      <c r="P456" t="s">
        <v>25</v>
      </c>
      <c r="Q456" t="s">
        <v>58</v>
      </c>
      <c r="R456" t="s">
        <v>42</v>
      </c>
    </row>
    <row r="457" spans="1:18" x14ac:dyDescent="0.25">
      <c r="A457" t="s">
        <v>962</v>
      </c>
      <c r="B457" t="s">
        <v>963</v>
      </c>
      <c r="C457">
        <v>69</v>
      </c>
      <c r="D457" t="s">
        <v>37</v>
      </c>
      <c r="E457" t="s">
        <v>54</v>
      </c>
      <c r="F457" t="s">
        <v>75</v>
      </c>
      <c r="G457" t="s">
        <v>39</v>
      </c>
      <c r="H457" s="1">
        <v>45483</v>
      </c>
      <c r="I457" s="1">
        <v>45537</v>
      </c>
      <c r="J457" t="s">
        <v>57</v>
      </c>
      <c r="K457">
        <v>3</v>
      </c>
      <c r="L457">
        <v>73842</v>
      </c>
      <c r="M457">
        <v>42115</v>
      </c>
      <c r="N457">
        <v>18100</v>
      </c>
      <c r="O457">
        <v>245330</v>
      </c>
      <c r="P457" t="s">
        <v>63</v>
      </c>
      <c r="Q457" t="s">
        <v>33</v>
      </c>
      <c r="R457" t="s">
        <v>27</v>
      </c>
    </row>
    <row r="458" spans="1:18" x14ac:dyDescent="0.25">
      <c r="A458" t="s">
        <v>964</v>
      </c>
      <c r="B458" t="s">
        <v>965</v>
      </c>
      <c r="C458">
        <v>34</v>
      </c>
      <c r="D458" t="s">
        <v>20</v>
      </c>
      <c r="E458" t="s">
        <v>50</v>
      </c>
      <c r="F458" t="s">
        <v>22</v>
      </c>
      <c r="G458" t="s">
        <v>23</v>
      </c>
      <c r="H458" s="1">
        <v>45310</v>
      </c>
      <c r="I458" s="1">
        <v>45484</v>
      </c>
      <c r="J458" t="s">
        <v>24</v>
      </c>
      <c r="K458">
        <v>15</v>
      </c>
      <c r="L458">
        <v>38665</v>
      </c>
      <c r="M458">
        <v>6592</v>
      </c>
      <c r="N458">
        <v>20935</v>
      </c>
      <c r="O458">
        <v>113573</v>
      </c>
      <c r="P458" t="s">
        <v>41</v>
      </c>
      <c r="Q458" t="s">
        <v>47</v>
      </c>
      <c r="R458" t="s">
        <v>70</v>
      </c>
    </row>
    <row r="459" spans="1:18" x14ac:dyDescent="0.25">
      <c r="A459" t="s">
        <v>966</v>
      </c>
      <c r="B459" t="s">
        <v>967</v>
      </c>
      <c r="C459">
        <v>52</v>
      </c>
      <c r="D459" t="s">
        <v>20</v>
      </c>
      <c r="E459" t="s">
        <v>21</v>
      </c>
      <c r="F459" t="s">
        <v>22</v>
      </c>
      <c r="G459" t="s">
        <v>23</v>
      </c>
      <c r="H459" s="1">
        <v>45464</v>
      </c>
      <c r="I459" s="1">
        <v>45610</v>
      </c>
      <c r="J459" t="s">
        <v>57</v>
      </c>
      <c r="K459">
        <v>4</v>
      </c>
      <c r="L459">
        <v>14277</v>
      </c>
      <c r="M459">
        <v>19108</v>
      </c>
      <c r="N459">
        <v>19081</v>
      </c>
      <c r="O459">
        <v>146202</v>
      </c>
      <c r="P459" t="s">
        <v>25</v>
      </c>
      <c r="Q459" t="s">
        <v>87</v>
      </c>
      <c r="R459" t="s">
        <v>42</v>
      </c>
    </row>
    <row r="460" spans="1:18" x14ac:dyDescent="0.25">
      <c r="A460" t="s">
        <v>968</v>
      </c>
      <c r="B460" t="s">
        <v>969</v>
      </c>
      <c r="C460">
        <v>10</v>
      </c>
      <c r="D460" t="s">
        <v>37</v>
      </c>
      <c r="E460" t="s">
        <v>30</v>
      </c>
      <c r="F460" t="s">
        <v>46</v>
      </c>
      <c r="G460" t="s">
        <v>80</v>
      </c>
      <c r="H460" s="1">
        <v>45519</v>
      </c>
      <c r="I460" s="1">
        <v>45398</v>
      </c>
      <c r="J460" t="s">
        <v>32</v>
      </c>
      <c r="K460">
        <v>4</v>
      </c>
      <c r="L460">
        <v>178311</v>
      </c>
      <c r="M460">
        <v>18270</v>
      </c>
      <c r="N460">
        <v>14691</v>
      </c>
      <c r="O460">
        <v>145900</v>
      </c>
      <c r="P460" t="s">
        <v>63</v>
      </c>
      <c r="Q460" t="s">
        <v>26</v>
      </c>
      <c r="R460" t="s">
        <v>34</v>
      </c>
    </row>
    <row r="461" spans="1:18" x14ac:dyDescent="0.25">
      <c r="A461" t="s">
        <v>970</v>
      </c>
      <c r="B461" t="s">
        <v>971</v>
      </c>
      <c r="C461">
        <v>19</v>
      </c>
      <c r="D461" t="s">
        <v>37</v>
      </c>
      <c r="E461" t="s">
        <v>54</v>
      </c>
      <c r="F461" t="s">
        <v>38</v>
      </c>
      <c r="G461" t="s">
        <v>39</v>
      </c>
      <c r="H461" s="1">
        <v>45641</v>
      </c>
      <c r="I461" s="1">
        <v>45655</v>
      </c>
      <c r="J461" t="s">
        <v>40</v>
      </c>
      <c r="K461">
        <v>18</v>
      </c>
      <c r="L461">
        <v>183736</v>
      </c>
      <c r="M461">
        <v>28649</v>
      </c>
      <c r="N461">
        <v>19690</v>
      </c>
      <c r="O461">
        <v>65514</v>
      </c>
      <c r="P461" t="s">
        <v>25</v>
      </c>
      <c r="Q461" t="s">
        <v>58</v>
      </c>
      <c r="R461" t="s">
        <v>34</v>
      </c>
    </row>
    <row r="462" spans="1:18" x14ac:dyDescent="0.25">
      <c r="A462" t="s">
        <v>972</v>
      </c>
      <c r="B462" t="s">
        <v>973</v>
      </c>
      <c r="C462">
        <v>58</v>
      </c>
      <c r="D462" t="s">
        <v>37</v>
      </c>
      <c r="E462" t="s">
        <v>50</v>
      </c>
      <c r="F462" t="s">
        <v>22</v>
      </c>
      <c r="G462" t="s">
        <v>80</v>
      </c>
      <c r="H462" s="1">
        <v>45474</v>
      </c>
      <c r="I462" s="1">
        <v>45602</v>
      </c>
      <c r="J462" t="s">
        <v>24</v>
      </c>
      <c r="K462">
        <v>17</v>
      </c>
      <c r="L462">
        <v>53008</v>
      </c>
      <c r="M462">
        <v>11997</v>
      </c>
      <c r="N462">
        <v>25854</v>
      </c>
      <c r="O462">
        <v>246220</v>
      </c>
      <c r="P462" t="s">
        <v>41</v>
      </c>
      <c r="Q462" t="s">
        <v>47</v>
      </c>
      <c r="R462" t="s">
        <v>34</v>
      </c>
    </row>
    <row r="463" spans="1:18" x14ac:dyDescent="0.25">
      <c r="A463" t="s">
        <v>974</v>
      </c>
      <c r="B463" t="s">
        <v>975</v>
      </c>
      <c r="C463">
        <v>1</v>
      </c>
      <c r="D463" t="s">
        <v>20</v>
      </c>
      <c r="E463" t="s">
        <v>54</v>
      </c>
      <c r="F463" t="s">
        <v>66</v>
      </c>
      <c r="G463" t="s">
        <v>80</v>
      </c>
      <c r="H463" s="1">
        <v>45404</v>
      </c>
      <c r="I463" s="1">
        <v>45525</v>
      </c>
      <c r="J463" t="s">
        <v>24</v>
      </c>
      <c r="K463">
        <v>19</v>
      </c>
      <c r="L463">
        <v>19683</v>
      </c>
      <c r="M463">
        <v>34489</v>
      </c>
      <c r="N463">
        <v>17856</v>
      </c>
      <c r="O463">
        <v>243707</v>
      </c>
      <c r="P463" t="s">
        <v>63</v>
      </c>
      <c r="Q463" t="s">
        <v>26</v>
      </c>
      <c r="R463" t="s">
        <v>27</v>
      </c>
    </row>
    <row r="464" spans="1:18" x14ac:dyDescent="0.25">
      <c r="A464" t="s">
        <v>976</v>
      </c>
      <c r="B464" t="s">
        <v>977</v>
      </c>
      <c r="C464">
        <v>69</v>
      </c>
      <c r="D464" t="s">
        <v>37</v>
      </c>
      <c r="E464" t="s">
        <v>45</v>
      </c>
      <c r="F464" t="s">
        <v>22</v>
      </c>
      <c r="G464" t="s">
        <v>39</v>
      </c>
      <c r="H464" s="1">
        <v>45474</v>
      </c>
      <c r="I464" s="1">
        <v>45557</v>
      </c>
      <c r="J464" t="s">
        <v>57</v>
      </c>
      <c r="K464">
        <v>11</v>
      </c>
      <c r="L464">
        <v>136742</v>
      </c>
      <c r="M464">
        <v>10104</v>
      </c>
      <c r="N464">
        <v>27886</v>
      </c>
      <c r="O464">
        <v>191736</v>
      </c>
      <c r="P464" t="s">
        <v>41</v>
      </c>
      <c r="Q464" t="s">
        <v>26</v>
      </c>
      <c r="R464" t="s">
        <v>70</v>
      </c>
    </row>
    <row r="465" spans="1:18" x14ac:dyDescent="0.25">
      <c r="A465" t="s">
        <v>978</v>
      </c>
      <c r="B465" t="s">
        <v>979</v>
      </c>
      <c r="C465">
        <v>4</v>
      </c>
      <c r="D465" t="s">
        <v>37</v>
      </c>
      <c r="E465" t="s">
        <v>69</v>
      </c>
      <c r="F465" t="s">
        <v>46</v>
      </c>
      <c r="G465" t="s">
        <v>39</v>
      </c>
      <c r="H465" s="1">
        <v>45437</v>
      </c>
      <c r="I465" s="1">
        <v>45636</v>
      </c>
      <c r="J465" t="s">
        <v>57</v>
      </c>
      <c r="K465">
        <v>3</v>
      </c>
      <c r="L465">
        <v>153961</v>
      </c>
      <c r="M465">
        <v>1870</v>
      </c>
      <c r="N465">
        <v>22518</v>
      </c>
      <c r="O465">
        <v>156955</v>
      </c>
      <c r="P465" t="s">
        <v>41</v>
      </c>
      <c r="Q465" t="s">
        <v>33</v>
      </c>
      <c r="R465" t="s">
        <v>42</v>
      </c>
    </row>
    <row r="466" spans="1:18" x14ac:dyDescent="0.25">
      <c r="A466" t="s">
        <v>980</v>
      </c>
      <c r="B466" t="s">
        <v>981</v>
      </c>
      <c r="C466">
        <v>16</v>
      </c>
      <c r="D466" t="s">
        <v>37</v>
      </c>
      <c r="E466" t="s">
        <v>30</v>
      </c>
      <c r="F466" t="s">
        <v>75</v>
      </c>
      <c r="G466" t="s">
        <v>23</v>
      </c>
      <c r="H466" s="1">
        <v>45610</v>
      </c>
      <c r="I466" s="1">
        <v>45329</v>
      </c>
      <c r="J466" t="s">
        <v>24</v>
      </c>
      <c r="K466">
        <v>8</v>
      </c>
      <c r="L466">
        <v>191684</v>
      </c>
      <c r="M466">
        <v>29684</v>
      </c>
      <c r="N466">
        <v>14204</v>
      </c>
      <c r="O466">
        <v>182131</v>
      </c>
      <c r="P466" t="s">
        <v>41</v>
      </c>
      <c r="Q466" t="s">
        <v>33</v>
      </c>
      <c r="R466" t="s">
        <v>70</v>
      </c>
    </row>
    <row r="467" spans="1:18" x14ac:dyDescent="0.25">
      <c r="A467" t="s">
        <v>982</v>
      </c>
      <c r="B467" t="s">
        <v>983</v>
      </c>
      <c r="C467">
        <v>24</v>
      </c>
      <c r="D467" t="s">
        <v>20</v>
      </c>
      <c r="E467" t="s">
        <v>54</v>
      </c>
      <c r="F467" t="s">
        <v>46</v>
      </c>
      <c r="G467" t="s">
        <v>39</v>
      </c>
      <c r="H467" s="1">
        <v>45407</v>
      </c>
      <c r="I467" s="1">
        <v>45597</v>
      </c>
      <c r="J467" t="s">
        <v>57</v>
      </c>
      <c r="K467">
        <v>14</v>
      </c>
      <c r="L467">
        <v>180607</v>
      </c>
      <c r="M467">
        <v>40519</v>
      </c>
      <c r="N467">
        <v>24367</v>
      </c>
      <c r="O467">
        <v>223150</v>
      </c>
      <c r="P467" t="s">
        <v>63</v>
      </c>
      <c r="Q467" t="s">
        <v>47</v>
      </c>
      <c r="R467" t="s">
        <v>27</v>
      </c>
    </row>
    <row r="468" spans="1:18" x14ac:dyDescent="0.25">
      <c r="A468" t="s">
        <v>984</v>
      </c>
      <c r="B468" t="s">
        <v>985</v>
      </c>
      <c r="C468">
        <v>80</v>
      </c>
      <c r="D468" t="s">
        <v>37</v>
      </c>
      <c r="E468" t="s">
        <v>69</v>
      </c>
      <c r="F468" t="s">
        <v>75</v>
      </c>
      <c r="G468" t="s">
        <v>23</v>
      </c>
      <c r="H468" s="1">
        <v>45404</v>
      </c>
      <c r="I468" s="1">
        <v>45333</v>
      </c>
      <c r="J468" t="s">
        <v>24</v>
      </c>
      <c r="K468">
        <v>1</v>
      </c>
      <c r="L468">
        <v>83542</v>
      </c>
      <c r="M468">
        <v>35524</v>
      </c>
      <c r="N468">
        <v>2623</v>
      </c>
      <c r="O468">
        <v>182004</v>
      </c>
      <c r="P468" t="s">
        <v>51</v>
      </c>
      <c r="Q468" t="s">
        <v>26</v>
      </c>
      <c r="R468" t="s">
        <v>70</v>
      </c>
    </row>
    <row r="469" spans="1:18" x14ac:dyDescent="0.25">
      <c r="A469" t="s">
        <v>986</v>
      </c>
      <c r="B469" t="s">
        <v>987</v>
      </c>
      <c r="C469">
        <v>2</v>
      </c>
      <c r="D469" t="s">
        <v>20</v>
      </c>
      <c r="E469" t="s">
        <v>50</v>
      </c>
      <c r="F469" t="s">
        <v>75</v>
      </c>
      <c r="G469" t="s">
        <v>23</v>
      </c>
      <c r="H469" s="1">
        <v>45542</v>
      </c>
      <c r="I469" s="1">
        <v>45309</v>
      </c>
      <c r="J469" t="s">
        <v>24</v>
      </c>
      <c r="K469">
        <v>14</v>
      </c>
      <c r="L469">
        <v>59319</v>
      </c>
      <c r="M469">
        <v>31957</v>
      </c>
      <c r="N469">
        <v>25674</v>
      </c>
      <c r="O469">
        <v>200341</v>
      </c>
      <c r="P469" t="s">
        <v>63</v>
      </c>
      <c r="Q469" t="s">
        <v>33</v>
      </c>
      <c r="R469" t="s">
        <v>27</v>
      </c>
    </row>
    <row r="470" spans="1:18" x14ac:dyDescent="0.25">
      <c r="A470" t="s">
        <v>988</v>
      </c>
      <c r="B470" t="s">
        <v>989</v>
      </c>
      <c r="C470">
        <v>32</v>
      </c>
      <c r="D470" t="s">
        <v>20</v>
      </c>
      <c r="E470" t="s">
        <v>69</v>
      </c>
      <c r="F470" t="s">
        <v>38</v>
      </c>
      <c r="G470" t="s">
        <v>23</v>
      </c>
      <c r="H470" s="1">
        <v>45542</v>
      </c>
      <c r="I470" s="1">
        <v>45636</v>
      </c>
      <c r="J470" t="s">
        <v>24</v>
      </c>
      <c r="K470">
        <v>2</v>
      </c>
      <c r="L470">
        <v>97067</v>
      </c>
      <c r="M470">
        <v>34885</v>
      </c>
      <c r="N470">
        <v>12033</v>
      </c>
      <c r="O470">
        <v>83986</v>
      </c>
      <c r="P470" t="s">
        <v>41</v>
      </c>
      <c r="Q470" t="s">
        <v>58</v>
      </c>
      <c r="R470" t="s">
        <v>34</v>
      </c>
    </row>
    <row r="471" spans="1:18" x14ac:dyDescent="0.25">
      <c r="A471" t="s">
        <v>990</v>
      </c>
      <c r="B471" t="s">
        <v>991</v>
      </c>
      <c r="C471">
        <v>84</v>
      </c>
      <c r="D471" t="s">
        <v>37</v>
      </c>
      <c r="E471" t="s">
        <v>30</v>
      </c>
      <c r="F471" t="s">
        <v>22</v>
      </c>
      <c r="G471" t="s">
        <v>39</v>
      </c>
      <c r="H471" s="1">
        <v>45594</v>
      </c>
      <c r="I471" s="1">
        <v>45569</v>
      </c>
      <c r="J471" t="s">
        <v>32</v>
      </c>
      <c r="K471">
        <v>4</v>
      </c>
      <c r="L471">
        <v>157711</v>
      </c>
      <c r="M471">
        <v>45369</v>
      </c>
      <c r="N471">
        <v>17108</v>
      </c>
      <c r="O471">
        <v>93959</v>
      </c>
      <c r="P471" t="s">
        <v>63</v>
      </c>
      <c r="Q471" t="s">
        <v>58</v>
      </c>
      <c r="R471" t="s">
        <v>42</v>
      </c>
    </row>
    <row r="472" spans="1:18" x14ac:dyDescent="0.25">
      <c r="A472" t="s">
        <v>992</v>
      </c>
      <c r="B472" t="s">
        <v>993</v>
      </c>
      <c r="C472">
        <v>24</v>
      </c>
      <c r="D472" t="s">
        <v>37</v>
      </c>
      <c r="E472" t="s">
        <v>54</v>
      </c>
      <c r="F472" t="s">
        <v>66</v>
      </c>
      <c r="G472" t="s">
        <v>80</v>
      </c>
      <c r="H472" s="1">
        <v>45604</v>
      </c>
      <c r="I472" s="1">
        <v>45599</v>
      </c>
      <c r="J472" t="s">
        <v>57</v>
      </c>
      <c r="K472">
        <v>19</v>
      </c>
      <c r="L472">
        <v>152705</v>
      </c>
      <c r="M472">
        <v>36596</v>
      </c>
      <c r="N472">
        <v>14948</v>
      </c>
      <c r="O472">
        <v>10035</v>
      </c>
      <c r="P472" t="s">
        <v>41</v>
      </c>
      <c r="Q472" t="s">
        <v>26</v>
      </c>
      <c r="R472" t="s">
        <v>34</v>
      </c>
    </row>
    <row r="473" spans="1:18" x14ac:dyDescent="0.25">
      <c r="A473" t="s">
        <v>994</v>
      </c>
      <c r="B473" t="s">
        <v>995</v>
      </c>
      <c r="C473">
        <v>12</v>
      </c>
      <c r="D473" t="s">
        <v>20</v>
      </c>
      <c r="E473" t="s">
        <v>45</v>
      </c>
      <c r="F473" t="s">
        <v>66</v>
      </c>
      <c r="G473" t="s">
        <v>23</v>
      </c>
      <c r="H473" s="1">
        <v>45409</v>
      </c>
      <c r="I473" s="1">
        <v>45351</v>
      </c>
      <c r="J473" t="s">
        <v>40</v>
      </c>
      <c r="K473">
        <v>6</v>
      </c>
      <c r="L473">
        <v>170732</v>
      </c>
      <c r="M473">
        <v>30866</v>
      </c>
      <c r="N473">
        <v>15086</v>
      </c>
      <c r="O473">
        <v>117767</v>
      </c>
      <c r="P473" t="s">
        <v>51</v>
      </c>
      <c r="Q473" t="s">
        <v>33</v>
      </c>
      <c r="R473" t="s">
        <v>70</v>
      </c>
    </row>
    <row r="474" spans="1:18" x14ac:dyDescent="0.25">
      <c r="A474" t="s">
        <v>996</v>
      </c>
      <c r="B474" t="s">
        <v>997</v>
      </c>
      <c r="C474">
        <v>50</v>
      </c>
      <c r="D474" t="s">
        <v>37</v>
      </c>
      <c r="E474" t="s">
        <v>50</v>
      </c>
      <c r="F474" t="s">
        <v>31</v>
      </c>
      <c r="G474" t="s">
        <v>80</v>
      </c>
      <c r="H474" s="1">
        <v>45592</v>
      </c>
      <c r="I474" s="1">
        <v>45475</v>
      </c>
      <c r="J474" t="s">
        <v>40</v>
      </c>
      <c r="K474">
        <v>1</v>
      </c>
      <c r="L474">
        <v>73975</v>
      </c>
      <c r="M474">
        <v>31676</v>
      </c>
      <c r="N474">
        <v>25916</v>
      </c>
      <c r="O474">
        <v>179817</v>
      </c>
      <c r="P474" t="s">
        <v>25</v>
      </c>
      <c r="Q474" t="s">
        <v>47</v>
      </c>
      <c r="R474" t="s">
        <v>34</v>
      </c>
    </row>
    <row r="475" spans="1:18" x14ac:dyDescent="0.25">
      <c r="A475" t="s">
        <v>998</v>
      </c>
      <c r="B475" t="s">
        <v>999</v>
      </c>
      <c r="C475">
        <v>35</v>
      </c>
      <c r="D475" t="s">
        <v>37</v>
      </c>
      <c r="E475" t="s">
        <v>54</v>
      </c>
      <c r="F475" t="s">
        <v>75</v>
      </c>
      <c r="G475" t="s">
        <v>80</v>
      </c>
      <c r="H475" s="1">
        <v>45452</v>
      </c>
      <c r="I475" s="1">
        <v>45333</v>
      </c>
      <c r="J475" t="s">
        <v>57</v>
      </c>
      <c r="K475">
        <v>17</v>
      </c>
      <c r="L475">
        <v>168244</v>
      </c>
      <c r="M475">
        <v>48764</v>
      </c>
      <c r="N475">
        <v>2314</v>
      </c>
      <c r="O475">
        <v>25241</v>
      </c>
      <c r="P475" t="s">
        <v>51</v>
      </c>
      <c r="Q475" t="s">
        <v>47</v>
      </c>
      <c r="R475" t="s">
        <v>42</v>
      </c>
    </row>
    <row r="476" spans="1:18" x14ac:dyDescent="0.25">
      <c r="A476" t="s">
        <v>1000</v>
      </c>
      <c r="B476" t="s">
        <v>1001</v>
      </c>
      <c r="C476">
        <v>33</v>
      </c>
      <c r="D476" t="s">
        <v>20</v>
      </c>
      <c r="E476" t="s">
        <v>30</v>
      </c>
      <c r="F476" t="s">
        <v>66</v>
      </c>
      <c r="G476" t="s">
        <v>39</v>
      </c>
      <c r="H476" s="1">
        <v>45489</v>
      </c>
      <c r="I476" s="1">
        <v>45331</v>
      </c>
      <c r="J476" t="s">
        <v>24</v>
      </c>
      <c r="K476">
        <v>8</v>
      </c>
      <c r="L476">
        <v>195269</v>
      </c>
      <c r="M476">
        <v>14878</v>
      </c>
      <c r="N476">
        <v>13501</v>
      </c>
      <c r="O476">
        <v>60975</v>
      </c>
      <c r="P476" t="s">
        <v>51</v>
      </c>
      <c r="Q476" t="s">
        <v>47</v>
      </c>
      <c r="R476" t="s">
        <v>34</v>
      </c>
    </row>
    <row r="477" spans="1:18" x14ac:dyDescent="0.25">
      <c r="A477" t="s">
        <v>1002</v>
      </c>
      <c r="B477" t="s">
        <v>1003</v>
      </c>
      <c r="C477">
        <v>33</v>
      </c>
      <c r="D477" t="s">
        <v>20</v>
      </c>
      <c r="E477" t="s">
        <v>50</v>
      </c>
      <c r="F477" t="s">
        <v>38</v>
      </c>
      <c r="G477" t="s">
        <v>80</v>
      </c>
      <c r="H477" s="1">
        <v>45551</v>
      </c>
      <c r="I477" s="1">
        <v>45484</v>
      </c>
      <c r="J477" t="s">
        <v>40</v>
      </c>
      <c r="K477">
        <v>19</v>
      </c>
      <c r="L477">
        <v>106158</v>
      </c>
      <c r="M477">
        <v>40760</v>
      </c>
      <c r="N477">
        <v>17990</v>
      </c>
      <c r="O477">
        <v>162226</v>
      </c>
      <c r="P477" t="s">
        <v>25</v>
      </c>
      <c r="Q477" t="s">
        <v>58</v>
      </c>
      <c r="R477" t="s">
        <v>42</v>
      </c>
    </row>
    <row r="478" spans="1:18" x14ac:dyDescent="0.25">
      <c r="A478" t="s">
        <v>1004</v>
      </c>
      <c r="B478" t="s">
        <v>1005</v>
      </c>
      <c r="C478">
        <v>61</v>
      </c>
      <c r="D478" t="s">
        <v>37</v>
      </c>
      <c r="E478" t="s">
        <v>21</v>
      </c>
      <c r="F478" t="s">
        <v>75</v>
      </c>
      <c r="G478" t="s">
        <v>80</v>
      </c>
      <c r="H478" s="1">
        <v>45439</v>
      </c>
      <c r="I478" s="1">
        <v>45559</v>
      </c>
      <c r="J478" t="s">
        <v>40</v>
      </c>
      <c r="K478">
        <v>1</v>
      </c>
      <c r="L478">
        <v>194919</v>
      </c>
      <c r="M478">
        <v>28559</v>
      </c>
      <c r="N478">
        <v>17008</v>
      </c>
      <c r="O478">
        <v>164697</v>
      </c>
      <c r="P478" t="s">
        <v>63</v>
      </c>
      <c r="Q478" t="s">
        <v>33</v>
      </c>
      <c r="R478" t="s">
        <v>42</v>
      </c>
    </row>
    <row r="479" spans="1:18" x14ac:dyDescent="0.25">
      <c r="A479" t="s">
        <v>1006</v>
      </c>
      <c r="B479" t="s">
        <v>1007</v>
      </c>
      <c r="C479">
        <v>51</v>
      </c>
      <c r="D479" t="s">
        <v>20</v>
      </c>
      <c r="E479" t="s">
        <v>69</v>
      </c>
      <c r="F479" t="s">
        <v>38</v>
      </c>
      <c r="G479" t="s">
        <v>39</v>
      </c>
      <c r="H479" s="1">
        <v>45531</v>
      </c>
      <c r="I479" s="1">
        <v>45439</v>
      </c>
      <c r="J479" t="s">
        <v>57</v>
      </c>
      <c r="K479">
        <v>5</v>
      </c>
      <c r="L479">
        <v>16577</v>
      </c>
      <c r="M479">
        <v>47546</v>
      </c>
      <c r="N479">
        <v>20130</v>
      </c>
      <c r="O479">
        <v>184022</v>
      </c>
      <c r="P479" t="s">
        <v>25</v>
      </c>
      <c r="Q479" t="s">
        <v>33</v>
      </c>
      <c r="R479" t="s">
        <v>34</v>
      </c>
    </row>
    <row r="480" spans="1:18" x14ac:dyDescent="0.25">
      <c r="A480" t="s">
        <v>1008</v>
      </c>
      <c r="B480" t="s">
        <v>1009</v>
      </c>
      <c r="C480">
        <v>43</v>
      </c>
      <c r="D480" t="s">
        <v>37</v>
      </c>
      <c r="E480" t="s">
        <v>30</v>
      </c>
      <c r="F480" t="s">
        <v>66</v>
      </c>
      <c r="G480" t="s">
        <v>23</v>
      </c>
      <c r="H480" s="1">
        <v>45338</v>
      </c>
      <c r="I480" s="1">
        <v>45625</v>
      </c>
      <c r="J480" t="s">
        <v>40</v>
      </c>
      <c r="K480">
        <v>16</v>
      </c>
      <c r="L480">
        <v>82299</v>
      </c>
      <c r="M480">
        <v>7771</v>
      </c>
      <c r="N480">
        <v>13880</v>
      </c>
      <c r="O480">
        <v>237674</v>
      </c>
      <c r="P480" t="s">
        <v>63</v>
      </c>
      <c r="Q480" t="s">
        <v>58</v>
      </c>
      <c r="R480" t="s">
        <v>27</v>
      </c>
    </row>
    <row r="481" spans="1:18" x14ac:dyDescent="0.25">
      <c r="A481" t="s">
        <v>1010</v>
      </c>
      <c r="B481" t="s">
        <v>1011</v>
      </c>
      <c r="C481">
        <v>12</v>
      </c>
      <c r="D481" t="s">
        <v>37</v>
      </c>
      <c r="E481" t="s">
        <v>21</v>
      </c>
      <c r="F481" t="s">
        <v>66</v>
      </c>
      <c r="G481" t="s">
        <v>80</v>
      </c>
      <c r="H481" s="1">
        <v>45489</v>
      </c>
      <c r="I481" s="1">
        <v>45419</v>
      </c>
      <c r="J481" t="s">
        <v>24</v>
      </c>
      <c r="K481">
        <v>6</v>
      </c>
      <c r="L481">
        <v>25176</v>
      </c>
      <c r="M481">
        <v>17526</v>
      </c>
      <c r="N481">
        <v>15906</v>
      </c>
      <c r="O481">
        <v>64396</v>
      </c>
      <c r="P481" t="s">
        <v>63</v>
      </c>
      <c r="Q481" t="s">
        <v>47</v>
      </c>
      <c r="R481" t="s">
        <v>70</v>
      </c>
    </row>
    <row r="482" spans="1:18" x14ac:dyDescent="0.25">
      <c r="A482" t="s">
        <v>1012</v>
      </c>
      <c r="B482" t="s">
        <v>1013</v>
      </c>
      <c r="C482">
        <v>67</v>
      </c>
      <c r="D482" t="s">
        <v>37</v>
      </c>
      <c r="E482" t="s">
        <v>54</v>
      </c>
      <c r="F482" t="s">
        <v>31</v>
      </c>
      <c r="G482" t="s">
        <v>39</v>
      </c>
      <c r="H482" s="1">
        <v>45338</v>
      </c>
      <c r="I482" s="1">
        <v>45338</v>
      </c>
      <c r="J482" t="s">
        <v>57</v>
      </c>
      <c r="K482">
        <v>8</v>
      </c>
      <c r="L482">
        <v>180458</v>
      </c>
      <c r="M482">
        <v>30896</v>
      </c>
      <c r="N482">
        <v>3431</v>
      </c>
      <c r="O482">
        <v>238299</v>
      </c>
      <c r="P482" t="s">
        <v>41</v>
      </c>
      <c r="Q482" t="s">
        <v>47</v>
      </c>
      <c r="R482" t="s">
        <v>27</v>
      </c>
    </row>
    <row r="483" spans="1:18" x14ac:dyDescent="0.25">
      <c r="A483" t="s">
        <v>1014</v>
      </c>
      <c r="B483" t="s">
        <v>1015</v>
      </c>
      <c r="C483">
        <v>65</v>
      </c>
      <c r="D483" t="s">
        <v>20</v>
      </c>
      <c r="E483" t="s">
        <v>45</v>
      </c>
      <c r="F483" t="s">
        <v>66</v>
      </c>
      <c r="G483" t="s">
        <v>80</v>
      </c>
      <c r="H483" s="1">
        <v>45369</v>
      </c>
      <c r="I483" s="1">
        <v>45337</v>
      </c>
      <c r="J483" t="s">
        <v>24</v>
      </c>
      <c r="K483">
        <v>13</v>
      </c>
      <c r="L483">
        <v>68972</v>
      </c>
      <c r="M483">
        <v>32923</v>
      </c>
      <c r="N483">
        <v>14067</v>
      </c>
      <c r="O483">
        <v>126920</v>
      </c>
      <c r="P483" t="s">
        <v>41</v>
      </c>
      <c r="Q483" t="s">
        <v>26</v>
      </c>
      <c r="R483" t="s">
        <v>27</v>
      </c>
    </row>
    <row r="484" spans="1:18" x14ac:dyDescent="0.25">
      <c r="A484" t="s">
        <v>1016</v>
      </c>
      <c r="B484" t="s">
        <v>1017</v>
      </c>
      <c r="C484">
        <v>33</v>
      </c>
      <c r="D484" t="s">
        <v>37</v>
      </c>
      <c r="E484" t="s">
        <v>50</v>
      </c>
      <c r="F484" t="s">
        <v>75</v>
      </c>
      <c r="G484" t="s">
        <v>80</v>
      </c>
      <c r="H484" s="1">
        <v>45415</v>
      </c>
      <c r="I484" s="1">
        <v>45293</v>
      </c>
      <c r="J484" t="s">
        <v>40</v>
      </c>
      <c r="K484">
        <v>16</v>
      </c>
      <c r="L484">
        <v>125018</v>
      </c>
      <c r="M484">
        <v>37203</v>
      </c>
      <c r="N484">
        <v>14538</v>
      </c>
      <c r="O484">
        <v>152403</v>
      </c>
      <c r="P484" t="s">
        <v>25</v>
      </c>
      <c r="Q484" t="s">
        <v>87</v>
      </c>
      <c r="R484" t="s">
        <v>34</v>
      </c>
    </row>
    <row r="485" spans="1:18" x14ac:dyDescent="0.25">
      <c r="A485" t="s">
        <v>1018</v>
      </c>
      <c r="B485" t="s">
        <v>1019</v>
      </c>
      <c r="C485">
        <v>40</v>
      </c>
      <c r="D485" t="s">
        <v>37</v>
      </c>
      <c r="E485" t="s">
        <v>69</v>
      </c>
      <c r="F485" t="s">
        <v>75</v>
      </c>
      <c r="G485" t="s">
        <v>23</v>
      </c>
      <c r="H485" s="1">
        <v>45366</v>
      </c>
      <c r="I485" s="1">
        <v>45460</v>
      </c>
      <c r="J485" t="s">
        <v>40</v>
      </c>
      <c r="K485">
        <v>3</v>
      </c>
      <c r="L485">
        <v>177075</v>
      </c>
      <c r="M485">
        <v>40390</v>
      </c>
      <c r="N485">
        <v>12817</v>
      </c>
      <c r="O485">
        <v>202999</v>
      </c>
      <c r="P485" t="s">
        <v>51</v>
      </c>
      <c r="Q485" t="s">
        <v>33</v>
      </c>
      <c r="R485" t="s">
        <v>70</v>
      </c>
    </row>
    <row r="486" spans="1:18" x14ac:dyDescent="0.25">
      <c r="A486" t="s">
        <v>1020</v>
      </c>
      <c r="B486" t="s">
        <v>1021</v>
      </c>
      <c r="C486">
        <v>74</v>
      </c>
      <c r="D486" t="s">
        <v>37</v>
      </c>
      <c r="E486" t="s">
        <v>50</v>
      </c>
      <c r="F486" t="s">
        <v>75</v>
      </c>
      <c r="G486" t="s">
        <v>80</v>
      </c>
      <c r="H486" s="1">
        <v>45650</v>
      </c>
      <c r="I486" s="1">
        <v>45400</v>
      </c>
      <c r="J486" t="s">
        <v>24</v>
      </c>
      <c r="K486">
        <v>19</v>
      </c>
      <c r="L486">
        <v>24996</v>
      </c>
      <c r="M486">
        <v>13852</v>
      </c>
      <c r="N486">
        <v>3471</v>
      </c>
      <c r="O486">
        <v>94226</v>
      </c>
      <c r="P486" t="s">
        <v>25</v>
      </c>
      <c r="Q486" t="s">
        <v>33</v>
      </c>
      <c r="R486" t="s">
        <v>70</v>
      </c>
    </row>
    <row r="487" spans="1:18" x14ac:dyDescent="0.25">
      <c r="A487" t="s">
        <v>1022</v>
      </c>
      <c r="B487" t="s">
        <v>1023</v>
      </c>
      <c r="C487">
        <v>43</v>
      </c>
      <c r="D487" t="s">
        <v>20</v>
      </c>
      <c r="E487" t="s">
        <v>54</v>
      </c>
      <c r="F487" t="s">
        <v>31</v>
      </c>
      <c r="G487" t="s">
        <v>39</v>
      </c>
      <c r="H487" s="1">
        <v>45428</v>
      </c>
      <c r="I487" s="1">
        <v>45311</v>
      </c>
      <c r="J487" t="s">
        <v>32</v>
      </c>
      <c r="K487">
        <v>12</v>
      </c>
      <c r="L487">
        <v>105922</v>
      </c>
      <c r="M487">
        <v>48574</v>
      </c>
      <c r="N487">
        <v>2517</v>
      </c>
      <c r="O487">
        <v>92719</v>
      </c>
      <c r="P487" t="s">
        <v>63</v>
      </c>
      <c r="Q487" t="s">
        <v>33</v>
      </c>
      <c r="R487" t="s">
        <v>27</v>
      </c>
    </row>
    <row r="488" spans="1:18" x14ac:dyDescent="0.25">
      <c r="A488" t="s">
        <v>1024</v>
      </c>
      <c r="B488" t="s">
        <v>1025</v>
      </c>
      <c r="C488">
        <v>44</v>
      </c>
      <c r="D488" t="s">
        <v>20</v>
      </c>
      <c r="E488" t="s">
        <v>50</v>
      </c>
      <c r="F488" t="s">
        <v>31</v>
      </c>
      <c r="G488" t="s">
        <v>80</v>
      </c>
      <c r="H488" s="1">
        <v>45381</v>
      </c>
      <c r="I488" s="1">
        <v>45624</v>
      </c>
      <c r="J488" t="s">
        <v>40</v>
      </c>
      <c r="K488">
        <v>16</v>
      </c>
      <c r="L488">
        <v>91598</v>
      </c>
      <c r="M488">
        <v>44391</v>
      </c>
      <c r="N488">
        <v>24299</v>
      </c>
      <c r="O488">
        <v>71014</v>
      </c>
      <c r="P488" t="s">
        <v>41</v>
      </c>
      <c r="Q488" t="s">
        <v>87</v>
      </c>
      <c r="R488" t="s">
        <v>34</v>
      </c>
    </row>
    <row r="489" spans="1:18" x14ac:dyDescent="0.25">
      <c r="A489" t="s">
        <v>1026</v>
      </c>
      <c r="B489" t="s">
        <v>1027</v>
      </c>
      <c r="C489">
        <v>29</v>
      </c>
      <c r="D489" t="s">
        <v>20</v>
      </c>
      <c r="E489" t="s">
        <v>69</v>
      </c>
      <c r="F489" t="s">
        <v>66</v>
      </c>
      <c r="G489" t="s">
        <v>23</v>
      </c>
      <c r="H489" s="1">
        <v>45616</v>
      </c>
      <c r="I489" s="1">
        <v>45364</v>
      </c>
      <c r="J489" t="s">
        <v>32</v>
      </c>
      <c r="K489">
        <v>11</v>
      </c>
      <c r="L489">
        <v>40931</v>
      </c>
      <c r="M489">
        <v>2848</v>
      </c>
      <c r="N489">
        <v>2915</v>
      </c>
      <c r="O489">
        <v>47346</v>
      </c>
      <c r="P489" t="s">
        <v>25</v>
      </c>
      <c r="Q489" t="s">
        <v>26</v>
      </c>
      <c r="R489" t="s">
        <v>70</v>
      </c>
    </row>
    <row r="490" spans="1:18" x14ac:dyDescent="0.25">
      <c r="A490" t="s">
        <v>1028</v>
      </c>
      <c r="B490" t="s">
        <v>1029</v>
      </c>
      <c r="C490">
        <v>13</v>
      </c>
      <c r="D490" t="s">
        <v>20</v>
      </c>
      <c r="E490" t="s">
        <v>54</v>
      </c>
      <c r="F490" t="s">
        <v>46</v>
      </c>
      <c r="G490" t="s">
        <v>23</v>
      </c>
      <c r="H490" s="1">
        <v>45352</v>
      </c>
      <c r="I490" s="1">
        <v>45401</v>
      </c>
      <c r="J490" t="s">
        <v>40</v>
      </c>
      <c r="K490">
        <v>10</v>
      </c>
      <c r="L490">
        <v>129168</v>
      </c>
      <c r="M490">
        <v>32027</v>
      </c>
      <c r="N490">
        <v>29666</v>
      </c>
      <c r="O490">
        <v>78411</v>
      </c>
      <c r="P490" t="s">
        <v>25</v>
      </c>
      <c r="Q490" t="s">
        <v>87</v>
      </c>
      <c r="R490" t="s">
        <v>27</v>
      </c>
    </row>
    <row r="491" spans="1:18" x14ac:dyDescent="0.25">
      <c r="A491" t="s">
        <v>1030</v>
      </c>
      <c r="B491" t="s">
        <v>1031</v>
      </c>
      <c r="C491">
        <v>12</v>
      </c>
      <c r="D491" t="s">
        <v>20</v>
      </c>
      <c r="E491" t="s">
        <v>50</v>
      </c>
      <c r="F491" t="s">
        <v>46</v>
      </c>
      <c r="G491" t="s">
        <v>39</v>
      </c>
      <c r="H491" s="1">
        <v>45429</v>
      </c>
      <c r="I491" s="1">
        <v>45560</v>
      </c>
      <c r="J491" t="s">
        <v>32</v>
      </c>
      <c r="K491">
        <v>4</v>
      </c>
      <c r="L491">
        <v>171782</v>
      </c>
      <c r="M491">
        <v>36464</v>
      </c>
      <c r="N491">
        <v>19980</v>
      </c>
      <c r="O491">
        <v>193550</v>
      </c>
      <c r="P491" t="s">
        <v>41</v>
      </c>
      <c r="Q491" t="s">
        <v>47</v>
      </c>
      <c r="R491" t="s">
        <v>70</v>
      </c>
    </row>
    <row r="492" spans="1:18" x14ac:dyDescent="0.25">
      <c r="A492" t="s">
        <v>1032</v>
      </c>
      <c r="B492" t="s">
        <v>1033</v>
      </c>
      <c r="C492">
        <v>46</v>
      </c>
      <c r="D492" t="s">
        <v>37</v>
      </c>
      <c r="E492" t="s">
        <v>45</v>
      </c>
      <c r="F492" t="s">
        <v>31</v>
      </c>
      <c r="G492" t="s">
        <v>23</v>
      </c>
      <c r="H492" s="1">
        <v>45341</v>
      </c>
      <c r="I492" s="1">
        <v>45532</v>
      </c>
      <c r="J492" t="s">
        <v>32</v>
      </c>
      <c r="K492">
        <v>12</v>
      </c>
      <c r="L492">
        <v>128099</v>
      </c>
      <c r="M492">
        <v>35485</v>
      </c>
      <c r="N492">
        <v>2109</v>
      </c>
      <c r="O492">
        <v>151326</v>
      </c>
      <c r="P492" t="s">
        <v>41</v>
      </c>
      <c r="Q492" t="s">
        <v>47</v>
      </c>
      <c r="R492" t="s">
        <v>34</v>
      </c>
    </row>
    <row r="493" spans="1:18" x14ac:dyDescent="0.25">
      <c r="A493" t="s">
        <v>1034</v>
      </c>
      <c r="B493" t="s">
        <v>1035</v>
      </c>
      <c r="C493">
        <v>2</v>
      </c>
      <c r="D493" t="s">
        <v>20</v>
      </c>
      <c r="E493" t="s">
        <v>30</v>
      </c>
      <c r="F493" t="s">
        <v>66</v>
      </c>
      <c r="G493" t="s">
        <v>80</v>
      </c>
      <c r="H493" s="1">
        <v>45550</v>
      </c>
      <c r="I493" s="1">
        <v>45593</v>
      </c>
      <c r="J493" t="s">
        <v>32</v>
      </c>
      <c r="K493">
        <v>2</v>
      </c>
      <c r="L493">
        <v>39693</v>
      </c>
      <c r="M493">
        <v>20456</v>
      </c>
      <c r="N493">
        <v>1217</v>
      </c>
      <c r="O493">
        <v>194806</v>
      </c>
      <c r="P493" t="s">
        <v>41</v>
      </c>
      <c r="Q493" t="s">
        <v>33</v>
      </c>
      <c r="R493" t="s">
        <v>34</v>
      </c>
    </row>
    <row r="494" spans="1:18" x14ac:dyDescent="0.25">
      <c r="A494" t="s">
        <v>1036</v>
      </c>
      <c r="B494" t="s">
        <v>1037</v>
      </c>
      <c r="C494">
        <v>35</v>
      </c>
      <c r="D494" t="s">
        <v>20</v>
      </c>
      <c r="E494" t="s">
        <v>54</v>
      </c>
      <c r="F494" t="s">
        <v>46</v>
      </c>
      <c r="G494" t="s">
        <v>23</v>
      </c>
      <c r="H494" s="1">
        <v>45398</v>
      </c>
      <c r="I494" s="1">
        <v>45382</v>
      </c>
      <c r="J494" t="s">
        <v>24</v>
      </c>
      <c r="K494">
        <v>19</v>
      </c>
      <c r="L494">
        <v>171812</v>
      </c>
      <c r="M494">
        <v>10259</v>
      </c>
      <c r="N494">
        <v>20445</v>
      </c>
      <c r="O494">
        <v>167693</v>
      </c>
      <c r="P494" t="s">
        <v>63</v>
      </c>
      <c r="Q494" t="s">
        <v>58</v>
      </c>
      <c r="R494" t="s">
        <v>34</v>
      </c>
    </row>
    <row r="495" spans="1:18" x14ac:dyDescent="0.25">
      <c r="A495" t="s">
        <v>1038</v>
      </c>
      <c r="B495" t="s">
        <v>1039</v>
      </c>
      <c r="C495">
        <v>87</v>
      </c>
      <c r="D495" t="s">
        <v>20</v>
      </c>
      <c r="E495" t="s">
        <v>30</v>
      </c>
      <c r="F495" t="s">
        <v>66</v>
      </c>
      <c r="G495" t="s">
        <v>39</v>
      </c>
      <c r="H495" s="1">
        <v>45404</v>
      </c>
      <c r="I495" s="1">
        <v>45395</v>
      </c>
      <c r="J495" t="s">
        <v>32</v>
      </c>
      <c r="K495">
        <v>5</v>
      </c>
      <c r="L495">
        <v>113944</v>
      </c>
      <c r="M495">
        <v>36554</v>
      </c>
      <c r="N495">
        <v>26092</v>
      </c>
      <c r="O495">
        <v>84441</v>
      </c>
      <c r="P495" t="s">
        <v>41</v>
      </c>
      <c r="Q495" t="s">
        <v>33</v>
      </c>
      <c r="R495" t="s">
        <v>70</v>
      </c>
    </row>
    <row r="496" spans="1:18" x14ac:dyDescent="0.25">
      <c r="A496" t="s">
        <v>1040</v>
      </c>
      <c r="B496" t="s">
        <v>1041</v>
      </c>
      <c r="C496">
        <v>81</v>
      </c>
      <c r="D496" t="s">
        <v>37</v>
      </c>
      <c r="E496" t="s">
        <v>54</v>
      </c>
      <c r="F496" t="s">
        <v>66</v>
      </c>
      <c r="G496" t="s">
        <v>23</v>
      </c>
      <c r="H496" s="1">
        <v>45641</v>
      </c>
      <c r="I496" s="1">
        <v>45542</v>
      </c>
      <c r="J496" t="s">
        <v>32</v>
      </c>
      <c r="K496">
        <v>8</v>
      </c>
      <c r="L496">
        <v>22374</v>
      </c>
      <c r="M496">
        <v>47922</v>
      </c>
      <c r="N496">
        <v>28641</v>
      </c>
      <c r="O496">
        <v>54121</v>
      </c>
      <c r="P496" t="s">
        <v>51</v>
      </c>
      <c r="Q496" t="s">
        <v>58</v>
      </c>
      <c r="R496" t="s">
        <v>42</v>
      </c>
    </row>
    <row r="497" spans="1:18" x14ac:dyDescent="0.25">
      <c r="A497" t="s">
        <v>1042</v>
      </c>
      <c r="B497" t="s">
        <v>1043</v>
      </c>
      <c r="C497">
        <v>8</v>
      </c>
      <c r="D497" t="s">
        <v>20</v>
      </c>
      <c r="E497" t="s">
        <v>45</v>
      </c>
      <c r="F497" t="s">
        <v>66</v>
      </c>
      <c r="G497" t="s">
        <v>23</v>
      </c>
      <c r="H497" s="1">
        <v>45545</v>
      </c>
      <c r="I497" s="1">
        <v>45300</v>
      </c>
      <c r="J497" t="s">
        <v>32</v>
      </c>
      <c r="K497">
        <v>7</v>
      </c>
      <c r="L497">
        <v>86471</v>
      </c>
      <c r="M497">
        <v>14409</v>
      </c>
      <c r="N497">
        <v>29777</v>
      </c>
      <c r="O497">
        <v>220490</v>
      </c>
      <c r="P497" t="s">
        <v>25</v>
      </c>
      <c r="Q497" t="s">
        <v>87</v>
      </c>
      <c r="R497" t="s">
        <v>70</v>
      </c>
    </row>
    <row r="498" spans="1:18" x14ac:dyDescent="0.25">
      <c r="A498" t="s">
        <v>1044</v>
      </c>
      <c r="B498" t="s">
        <v>1045</v>
      </c>
      <c r="C498">
        <v>26</v>
      </c>
      <c r="D498" t="s">
        <v>20</v>
      </c>
      <c r="E498" t="s">
        <v>30</v>
      </c>
      <c r="F498" t="s">
        <v>22</v>
      </c>
      <c r="G498" t="s">
        <v>23</v>
      </c>
      <c r="H498" s="1">
        <v>45409</v>
      </c>
      <c r="I498" s="1">
        <v>45445</v>
      </c>
      <c r="J498" t="s">
        <v>40</v>
      </c>
      <c r="K498">
        <v>14</v>
      </c>
      <c r="L498">
        <v>50913</v>
      </c>
      <c r="M498">
        <v>4791</v>
      </c>
      <c r="N498">
        <v>13162</v>
      </c>
      <c r="O498">
        <v>68197</v>
      </c>
      <c r="P498" t="s">
        <v>41</v>
      </c>
      <c r="Q498" t="s">
        <v>47</v>
      </c>
      <c r="R498" t="s">
        <v>42</v>
      </c>
    </row>
    <row r="499" spans="1:18" x14ac:dyDescent="0.25">
      <c r="A499" t="s">
        <v>1046</v>
      </c>
      <c r="B499" t="s">
        <v>1047</v>
      </c>
      <c r="C499">
        <v>74</v>
      </c>
      <c r="D499" t="s">
        <v>37</v>
      </c>
      <c r="E499" t="s">
        <v>21</v>
      </c>
      <c r="F499" t="s">
        <v>75</v>
      </c>
      <c r="G499" t="s">
        <v>39</v>
      </c>
      <c r="H499" s="1">
        <v>45489</v>
      </c>
      <c r="I499" s="1">
        <v>45639</v>
      </c>
      <c r="J499" t="s">
        <v>32</v>
      </c>
      <c r="K499">
        <v>3</v>
      </c>
      <c r="L499">
        <v>128683</v>
      </c>
      <c r="M499">
        <v>26864</v>
      </c>
      <c r="N499">
        <v>7282</v>
      </c>
      <c r="O499">
        <v>92577</v>
      </c>
      <c r="P499" t="s">
        <v>41</v>
      </c>
      <c r="Q499" t="s">
        <v>58</v>
      </c>
      <c r="R499" t="s">
        <v>34</v>
      </c>
    </row>
    <row r="500" spans="1:18" x14ac:dyDescent="0.25">
      <c r="A500" t="s">
        <v>1048</v>
      </c>
      <c r="B500" t="s">
        <v>1049</v>
      </c>
      <c r="C500">
        <v>34</v>
      </c>
      <c r="D500" t="s">
        <v>20</v>
      </c>
      <c r="E500" t="s">
        <v>69</v>
      </c>
      <c r="F500" t="s">
        <v>66</v>
      </c>
      <c r="G500" t="s">
        <v>23</v>
      </c>
      <c r="H500" s="1">
        <v>45628</v>
      </c>
      <c r="I500" s="1">
        <v>45466</v>
      </c>
      <c r="J500" t="s">
        <v>40</v>
      </c>
      <c r="K500">
        <v>18</v>
      </c>
      <c r="L500">
        <v>49516</v>
      </c>
      <c r="M500">
        <v>37639</v>
      </c>
      <c r="N500">
        <v>27036</v>
      </c>
      <c r="O500">
        <v>102634</v>
      </c>
      <c r="P500" t="s">
        <v>63</v>
      </c>
      <c r="Q500" t="s">
        <v>87</v>
      </c>
      <c r="R500" t="s">
        <v>27</v>
      </c>
    </row>
    <row r="501" spans="1:18" x14ac:dyDescent="0.25">
      <c r="A501" t="s">
        <v>1050</v>
      </c>
      <c r="B501" t="s">
        <v>1051</v>
      </c>
      <c r="C501">
        <v>7</v>
      </c>
      <c r="D501" t="s">
        <v>37</v>
      </c>
      <c r="E501" t="s">
        <v>21</v>
      </c>
      <c r="F501" t="s">
        <v>22</v>
      </c>
      <c r="G501" t="s">
        <v>23</v>
      </c>
      <c r="H501" s="1">
        <v>45656</v>
      </c>
      <c r="I501" s="1">
        <v>45635</v>
      </c>
      <c r="J501" t="s">
        <v>32</v>
      </c>
      <c r="K501">
        <v>16</v>
      </c>
      <c r="L501">
        <v>92796</v>
      </c>
      <c r="M501">
        <v>35574</v>
      </c>
      <c r="N501">
        <v>1548</v>
      </c>
      <c r="O501">
        <v>181503</v>
      </c>
      <c r="P501" t="s">
        <v>63</v>
      </c>
      <c r="Q501" t="s">
        <v>47</v>
      </c>
      <c r="R501" t="s">
        <v>42</v>
      </c>
    </row>
  </sheetData>
  <customSheetViews>
    <customSheetView guid="{BDCBAC59-900C-4EF0-B76E-C74E8DFB4797}">
      <pane ySplit="1" topLeftCell="A478" activePane="bottomLeft" state="frozen"/>
      <selection pane="bottomLeft" activeCell="A495" sqref="A495"/>
      <pageMargins left="0.7" right="0.7" top="0.75" bottom="0.75" header="0.3" footer="0.3"/>
      <pageSetup orientation="portrait" r:id="rId1"/>
    </customSheetView>
  </customSheetViews>
  <pageMargins left="0.7" right="0.7" top="0.75" bottom="0.75" header="0.3" footer="0.3"/>
  <pageSetup orientation="portrait"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
  <sheetViews>
    <sheetView workbookViewId="0">
      <selection activeCell="A12" sqref="A12"/>
    </sheetView>
  </sheetViews>
  <sheetFormatPr defaultRowHeight="15" x14ac:dyDescent="0.25"/>
  <cols>
    <col min="1" max="1" width="16" bestFit="1" customWidth="1"/>
    <col min="2" max="2" width="30.42578125" bestFit="1" customWidth="1"/>
    <col min="3" max="3" width="13.140625" customWidth="1"/>
    <col min="4" max="4" width="22.28515625" bestFit="1" customWidth="1"/>
    <col min="5" max="5" width="18.5703125" bestFit="1" customWidth="1"/>
    <col min="6" max="6" width="22.28515625" customWidth="1"/>
    <col min="7" max="7" width="19.85546875" customWidth="1"/>
    <col min="8" max="10" width="12" bestFit="1" customWidth="1"/>
    <col min="11" max="11" width="9" customWidth="1"/>
    <col min="12" max="15" width="12" bestFit="1" customWidth="1"/>
    <col min="16" max="16" width="9" customWidth="1"/>
    <col min="17" max="19" width="12" bestFit="1" customWidth="1"/>
    <col min="20" max="20" width="11" bestFit="1" customWidth="1"/>
    <col min="21" max="21" width="11.28515625" bestFit="1" customWidth="1"/>
  </cols>
  <sheetData>
    <row r="1" spans="1:6" x14ac:dyDescent="0.25">
      <c r="A1" s="3" t="s">
        <v>1064</v>
      </c>
      <c r="D1" s="3" t="s">
        <v>17</v>
      </c>
      <c r="E1" t="s">
        <v>70</v>
      </c>
    </row>
    <row r="2" spans="1:6" x14ac:dyDescent="0.25">
      <c r="A2" t="s">
        <v>1055</v>
      </c>
      <c r="B2" t="s">
        <v>1057</v>
      </c>
    </row>
    <row r="3" spans="1:6" x14ac:dyDescent="0.25">
      <c r="A3" s="5">
        <v>63947920</v>
      </c>
      <c r="B3" s="6">
        <v>10.124000000000001</v>
      </c>
      <c r="D3" t="s">
        <v>1061</v>
      </c>
      <c r="E3" t="s">
        <v>1065</v>
      </c>
      <c r="F3" s="8" t="s">
        <v>1066</v>
      </c>
    </row>
    <row r="4" spans="1:6" x14ac:dyDescent="0.25">
      <c r="D4" s="5">
        <v>123</v>
      </c>
      <c r="E4" s="5">
        <v>500</v>
      </c>
      <c r="F4" s="9">
        <f>GETPIVOTDATA("Patient_Status",$D$3)/GETPIVOTDATA("Patient_ID",$E$3)</f>
        <v>0.246</v>
      </c>
    </row>
    <row r="6" spans="1:6" x14ac:dyDescent="0.25">
      <c r="D6" s="3" t="s">
        <v>1053</v>
      </c>
      <c r="E6" t="s">
        <v>1055</v>
      </c>
      <c r="F6" s="10" t="s">
        <v>1067</v>
      </c>
    </row>
    <row r="7" spans="1:6" x14ac:dyDescent="0.25">
      <c r="D7" s="4" t="s">
        <v>25</v>
      </c>
      <c r="E7" s="5">
        <v>17082133</v>
      </c>
      <c r="F7">
        <f>GETPIVOTDATA("Total_Bill",$D$6,"Payment_Mode","Insurance")</f>
        <v>17348861</v>
      </c>
    </row>
    <row r="8" spans="1:6" x14ac:dyDescent="0.25">
      <c r="D8" s="4" t="s">
        <v>51</v>
      </c>
      <c r="E8" s="5">
        <v>14909504</v>
      </c>
    </row>
    <row r="9" spans="1:6" ht="18.75" x14ac:dyDescent="0.25">
      <c r="A9" s="16" t="s">
        <v>1068</v>
      </c>
      <c r="B9" s="16"/>
      <c r="D9" s="4" t="s">
        <v>63</v>
      </c>
      <c r="E9" s="5">
        <v>17348861</v>
      </c>
    </row>
    <row r="10" spans="1:6" x14ac:dyDescent="0.25">
      <c r="A10" s="14" t="s">
        <v>1066</v>
      </c>
      <c r="B10" s="14" t="s">
        <v>1067</v>
      </c>
      <c r="D10" s="4" t="s">
        <v>41</v>
      </c>
      <c r="E10" s="5">
        <v>14607422</v>
      </c>
    </row>
    <row r="11" spans="1:6" x14ac:dyDescent="0.25">
      <c r="A11" s="11">
        <f>GETPIVOTDATA("Patient_Status",$D$3)/GETPIVOTDATA("Patient_ID",$E$3)</f>
        <v>0.246</v>
      </c>
      <c r="B11" s="12">
        <f>GETPIVOTDATA("Total_Bill",$D$6,"Payment_Mode","Insurance")</f>
        <v>17348861</v>
      </c>
      <c r="D11" s="4" t="s">
        <v>1054</v>
      </c>
      <c r="E11" s="5">
        <v>63947920</v>
      </c>
    </row>
    <row r="12" spans="1:6" x14ac:dyDescent="0.25">
      <c r="A12" s="14" t="s">
        <v>1069</v>
      </c>
      <c r="B12" s="14" t="s">
        <v>1070</v>
      </c>
    </row>
    <row r="13" spans="1:6" x14ac:dyDescent="0.25">
      <c r="A13" s="12">
        <f>GETPIVOTDATA("Sum of Total_Bill",$A$1)</f>
        <v>63947920</v>
      </c>
      <c r="B13" s="13">
        <f>GETPIVOTDATA("Average of Length_of_Stay_Days",$A$1)</f>
        <v>10.124000000000001</v>
      </c>
    </row>
  </sheetData>
  <customSheetViews>
    <customSheetView guid="{BDCBAC59-900C-4EF0-B76E-C74E8DFB4797}">
      <selection activeCell="A12" sqref="A12"/>
      <pageMargins left="0.7" right="0.7" top="0.75" bottom="0.75" header="0.3" footer="0.3"/>
    </customSheetView>
  </customSheetViews>
  <mergeCells count="1">
    <mergeCell ref="A9:B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abSelected="1" zoomScale="80" zoomScaleNormal="80" workbookViewId="0">
      <selection activeCell="S30" sqref="S30"/>
    </sheetView>
  </sheetViews>
  <sheetFormatPr defaultRowHeight="15" x14ac:dyDescent="0.25"/>
  <cols>
    <col min="4" max="4" width="9.28515625" customWidth="1"/>
  </cols>
  <sheetData/>
  <customSheetViews>
    <customSheetView guid="{BDCBAC59-900C-4EF0-B76E-C74E8DFB4797}" topLeftCell="H1">
      <selection activeCell="S30" sqref="S30"/>
      <pageMargins left="0.7" right="0.7" top="0.75" bottom="0.75" header="0.3" footer="0.3"/>
    </customSheetView>
  </customSheetView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no 1</vt:lpstr>
      <vt:lpstr>no 2</vt:lpstr>
      <vt:lpstr>no 3</vt:lpstr>
      <vt:lpstr>no 4</vt:lpstr>
      <vt:lpstr>no 5</vt:lpstr>
      <vt:lpstr>no 6</vt:lpstr>
      <vt:lpstr>Sheet1</vt:lpstr>
      <vt:lpstr>Hospital data</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2025-12-31T14:44:28Z</dcterms:created>
  <dcterms:modified xsi:type="dcterms:W3CDTF">2026-01-03T13:44:31Z</dcterms:modified>
</cp:coreProperties>
</file>