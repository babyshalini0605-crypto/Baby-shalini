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DELL\Desktop\"/>
    </mc:Choice>
  </mc:AlternateContent>
  <xr:revisionPtr revIDLastSave="0" documentId="13_ncr:1_{C58CC86D-146B-4F08-A20A-4B5E4B5068A9}" xr6:coauthVersionLast="47" xr6:coauthVersionMax="47" xr10:uidLastSave="{00000000-0000-0000-0000-000000000000}"/>
  <bookViews>
    <workbookView xWindow="-120" yWindow="-120" windowWidth="20730" windowHeight="11160" firstSheet="1" activeTab="8" xr2:uid="{C7091A4E-8869-4782-B2F9-D372A97C07CD}"/>
  </bookViews>
  <sheets>
    <sheet name="Sheet1" sheetId="1" r:id="rId1"/>
    <sheet name="Sheet2" sheetId="2" r:id="rId2"/>
    <sheet name="no 1" sheetId="3" r:id="rId3"/>
    <sheet name="no 2" sheetId="4" r:id="rId4"/>
    <sheet name="no 3" sheetId="9" r:id="rId5"/>
    <sheet name="no 4" sheetId="10" r:id="rId6"/>
    <sheet name="no 5" sheetId="11" r:id="rId7"/>
    <sheet name="no 6" sheetId="12" r:id="rId8"/>
    <sheet name="Sheet13" sheetId="13" r:id="rId9"/>
  </sheets>
  <definedNames>
    <definedName name="Slicer_Product_Category">#N/A</definedName>
  </definedNames>
  <calcPr calcId="191029"/>
  <pivotCaches>
    <pivotCache cacheId="7"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4" i="2" l="1"/>
  <c r="D4" i="2"/>
  <c r="C4" i="2"/>
</calcChain>
</file>

<file path=xl/sharedStrings.xml><?xml version="1.0" encoding="utf-8"?>
<sst xmlns="http://schemas.openxmlformats.org/spreadsheetml/2006/main" count="3562" uniqueCount="51">
  <si>
    <t>UPI</t>
  </si>
  <si>
    <t>Regular</t>
  </si>
  <si>
    <t>Green Tea</t>
  </si>
  <si>
    <t>Tea</t>
  </si>
  <si>
    <t>Riya</t>
  </si>
  <si>
    <t>Mumbai</t>
  </si>
  <si>
    <t>Feb</t>
  </si>
  <si>
    <t>Cash</t>
  </si>
  <si>
    <t>Cappuccino</t>
  </si>
  <si>
    <t>Coffee</t>
  </si>
  <si>
    <t>Neha</t>
  </si>
  <si>
    <t>Hyderabad</t>
  </si>
  <si>
    <t>Espresso</t>
  </si>
  <si>
    <t>Card</t>
  </si>
  <si>
    <t>Walk-in</t>
  </si>
  <si>
    <t>Latte</t>
  </si>
  <si>
    <t>Amit</t>
  </si>
  <si>
    <t>Chennai</t>
  </si>
  <si>
    <t>Muffin</t>
  </si>
  <si>
    <t>Bakery</t>
  </si>
  <si>
    <t>Americano</t>
  </si>
  <si>
    <t>Karan</t>
  </si>
  <si>
    <t>Bangalore</t>
  </si>
  <si>
    <t>Croissant</t>
  </si>
  <si>
    <t>Arjun</t>
  </si>
  <si>
    <t>Masala Tea</t>
  </si>
  <si>
    <t>Delhi</t>
  </si>
  <si>
    <t>Black Tea</t>
  </si>
  <si>
    <t>Brownie</t>
  </si>
  <si>
    <t>Mocha</t>
  </si>
  <si>
    <t>Jan</t>
  </si>
  <si>
    <t>Mar</t>
  </si>
  <si>
    <t>Sales Amount</t>
  </si>
  <si>
    <t>Unit Price</t>
  </si>
  <si>
    <t>Quantity Sold</t>
  </si>
  <si>
    <t>Payment Mode</t>
  </si>
  <si>
    <t>Customer Type</t>
  </si>
  <si>
    <t>Product Name</t>
  </si>
  <si>
    <t>Product Category</t>
  </si>
  <si>
    <t>Sales Rep</t>
  </si>
  <si>
    <t>Store Location</t>
  </si>
  <si>
    <t>Month</t>
  </si>
  <si>
    <t>Year</t>
  </si>
  <si>
    <t>Date</t>
  </si>
  <si>
    <t>Sum of Sales Amount</t>
  </si>
  <si>
    <t>Sum of Quantity Sold</t>
  </si>
  <si>
    <t>Row Labels</t>
  </si>
  <si>
    <t>Grand Total</t>
  </si>
  <si>
    <t>Average of Sales Amount</t>
  </si>
  <si>
    <t>Revenue</t>
  </si>
  <si>
    <t>Avg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</si>
</sst>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1" fillId="0" borderId="0" xfId="0" applyFont="1"/>
  </cellXfs>
  <cellStyles count="1">
    <cellStyle name="Normal" xfId="0" builtinId="0"/>
  </cellStyles>
  <dxfs count="36">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[Pavithra project.xlsx]no 1!PivotTable1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QUANTITY</a:t>
            </a:r>
            <a:r>
              <a:rPr lang="en-IN" baseline="0"/>
              <a:t> SOLD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'no 1'!$C$3</c:f>
              <c:strCache>
                <c:ptCount val="1"/>
                <c:pt idx="0">
                  <c:v>Total</c:v>
                </c:pt>
              </c:strCache>
            </c:strRef>
          </c:tx>
          <c:spPr>
            <a:solidFill>
              <a:schemeClr val="accent1"/>
            </a:solidFill>
            <a:ln>
              <a:noFill/>
            </a:ln>
            <a:effectLst/>
          </c:spPr>
          <c:invertIfNegative val="0"/>
          <c:cat>
            <c:strRef>
              <c:f>'no 1'!$B$4:$B$7</c:f>
              <c:strCache>
                <c:ptCount val="3"/>
                <c:pt idx="0">
                  <c:v>Bakery</c:v>
                </c:pt>
                <c:pt idx="1">
                  <c:v>Coffee</c:v>
                </c:pt>
                <c:pt idx="2">
                  <c:v>Tea</c:v>
                </c:pt>
              </c:strCache>
            </c:strRef>
          </c:cat>
          <c:val>
            <c:numRef>
              <c:f>'no 1'!$C$4:$C$7</c:f>
              <c:numCache>
                <c:formatCode>General</c:formatCode>
                <c:ptCount val="3"/>
                <c:pt idx="0">
                  <c:v>568</c:v>
                </c:pt>
                <c:pt idx="1">
                  <c:v>636</c:v>
                </c:pt>
                <c:pt idx="2">
                  <c:v>567</c:v>
                </c:pt>
              </c:numCache>
            </c:numRef>
          </c:val>
          <c:extLst>
            <c:ext xmlns:c16="http://schemas.microsoft.com/office/drawing/2014/chart" uri="{C3380CC4-5D6E-409C-BE32-E72D297353CC}">
              <c16:uniqueId val="{00000000-D223-442D-B2B9-AB76D1E99453}"/>
            </c:ext>
          </c:extLst>
        </c:ser>
        <c:dLbls>
          <c:showLegendKey val="0"/>
          <c:showVal val="0"/>
          <c:showCatName val="0"/>
          <c:showSerName val="0"/>
          <c:showPercent val="0"/>
          <c:showBubbleSize val="0"/>
        </c:dLbls>
        <c:gapWidth val="182"/>
        <c:axId val="1260454191"/>
        <c:axId val="1260455151"/>
      </c:barChart>
      <c:catAx>
        <c:axId val="12604541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455151"/>
        <c:crosses val="autoZero"/>
        <c:auto val="1"/>
        <c:lblAlgn val="ctr"/>
        <c:lblOffset val="100"/>
        <c:noMultiLvlLbl val="0"/>
      </c:catAx>
      <c:valAx>
        <c:axId val="12604551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454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[Pavithra project.xlsx]no 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AMOUNT</a:t>
            </a:r>
            <a:endParaRPr lang="en-US"/>
          </a:p>
        </c:rich>
      </c:tx>
      <c:layout>
        <c:manualLayout>
          <c:xMode val="edge"/>
          <c:yMode val="edge"/>
          <c:x val="0.4492707786526684"/>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796084864391951"/>
          <c:y val="0.3142107757363663"/>
          <c:w val="0.64142082239720033"/>
          <c:h val="0.43994276757072032"/>
        </c:manualLayout>
      </c:layout>
      <c:areaChart>
        <c:grouping val="standard"/>
        <c:varyColors val="0"/>
        <c:ser>
          <c:idx val="0"/>
          <c:order val="0"/>
          <c:tx>
            <c:strRef>
              <c:f>'no 2'!$B$1</c:f>
              <c:strCache>
                <c:ptCount val="1"/>
                <c:pt idx="0">
                  <c:v>Total</c:v>
                </c:pt>
              </c:strCache>
            </c:strRef>
          </c:tx>
          <c:spPr>
            <a:solidFill>
              <a:schemeClr val="accent1"/>
            </a:solidFill>
            <a:ln>
              <a:noFill/>
            </a:ln>
            <a:effectLst/>
          </c:spPr>
          <c:cat>
            <c:strRef>
              <c:f>'no 2'!$A$2:$A$4</c:f>
              <c:strCache>
                <c:ptCount val="2"/>
                <c:pt idx="0">
                  <c:v>Regular</c:v>
                </c:pt>
                <c:pt idx="1">
                  <c:v>Walk-in</c:v>
                </c:pt>
              </c:strCache>
            </c:strRef>
          </c:cat>
          <c:val>
            <c:numRef>
              <c:f>'no 2'!$B$2:$B$4</c:f>
              <c:numCache>
                <c:formatCode>General</c:formatCode>
                <c:ptCount val="2"/>
                <c:pt idx="0">
                  <c:v>135392</c:v>
                </c:pt>
                <c:pt idx="1">
                  <c:v>135208</c:v>
                </c:pt>
              </c:numCache>
            </c:numRef>
          </c:val>
          <c:extLst>
            <c:ext xmlns:c16="http://schemas.microsoft.com/office/drawing/2014/chart" uri="{C3380CC4-5D6E-409C-BE32-E72D297353CC}">
              <c16:uniqueId val="{00000000-0B4E-4AF2-AD36-1E9E66010A02}"/>
            </c:ext>
          </c:extLst>
        </c:ser>
        <c:dLbls>
          <c:showLegendKey val="0"/>
          <c:showVal val="0"/>
          <c:showCatName val="0"/>
          <c:showSerName val="0"/>
          <c:showPercent val="0"/>
          <c:showBubbleSize val="0"/>
        </c:dLbls>
        <c:axId val="1249421695"/>
        <c:axId val="1249420255"/>
      </c:areaChart>
      <c:catAx>
        <c:axId val="1249421695"/>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420255"/>
        <c:crosses val="autoZero"/>
        <c:auto val="1"/>
        <c:lblAlgn val="ctr"/>
        <c:lblOffset val="100"/>
        <c:noMultiLvlLbl val="0"/>
      </c:catAx>
      <c:valAx>
        <c:axId val="1249420255"/>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421695"/>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[Pavithra project.xlsx]no 3!PivotTable3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OF AMOUNT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'no 3'!$C$6</c:f>
              <c:strCache>
                <c:ptCount val="1"/>
                <c:pt idx="0">
                  <c:v>Total</c:v>
                </c:pt>
              </c:strCache>
            </c:strRef>
          </c:tx>
          <c:spPr>
            <a:solidFill>
              <a:schemeClr val="accent1"/>
            </a:solidFill>
            <a:ln>
              <a:noFill/>
            </a:ln>
            <a:effectLst/>
          </c:spPr>
          <c:invertIfNegative val="0"/>
          <c:cat>
            <c:strRef>
              <c:f>'no 3'!$B$7:$B$10</c:f>
              <c:strCache>
                <c:ptCount val="3"/>
                <c:pt idx="0">
                  <c:v>Card</c:v>
                </c:pt>
                <c:pt idx="1">
                  <c:v>Cash</c:v>
                </c:pt>
                <c:pt idx="2">
                  <c:v>UPI</c:v>
                </c:pt>
              </c:strCache>
            </c:strRef>
          </c:cat>
          <c:val>
            <c:numRef>
              <c:f>'no 3'!$C$7:$C$10</c:f>
              <c:numCache>
                <c:formatCode>General</c:formatCode>
                <c:ptCount val="3"/>
                <c:pt idx="0">
                  <c:v>81559</c:v>
                </c:pt>
                <c:pt idx="1">
                  <c:v>92456</c:v>
                </c:pt>
                <c:pt idx="2">
                  <c:v>96585</c:v>
                </c:pt>
              </c:numCache>
            </c:numRef>
          </c:val>
          <c:extLst>
            <c:ext xmlns:c16="http://schemas.microsoft.com/office/drawing/2014/chart" uri="{C3380CC4-5D6E-409C-BE32-E72D297353CC}">
              <c16:uniqueId val="{00000000-6739-4FC6-97B2-AE29F9D08A59}"/>
            </c:ext>
          </c:extLst>
        </c:ser>
        <c:dLbls>
          <c:showLegendKey val="0"/>
          <c:showVal val="0"/>
          <c:showCatName val="0"/>
          <c:showSerName val="0"/>
          <c:showPercent val="0"/>
          <c:showBubbleSize val="0"/>
        </c:dLbls>
        <c:gapWidth val="219"/>
        <c:overlap val="-27"/>
        <c:axId val="1260458991"/>
        <c:axId val="1375017103"/>
      </c:barChart>
      <c:catAx>
        <c:axId val="1260458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017103"/>
        <c:crosses val="autoZero"/>
        <c:auto val="1"/>
        <c:lblAlgn val="ctr"/>
        <c:lblOffset val="100"/>
        <c:noMultiLvlLbl val="0"/>
      </c:catAx>
      <c:valAx>
        <c:axId val="13750171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4589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[Pavithra project.xlsx]no 4!PivotTable4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a:t>
            </a:r>
            <a:r>
              <a:rPr lang="en-IN" baseline="0"/>
              <a:t> OF SALES AMOUNT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'no 4'!$B$1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'no 4'!$A$2:$A$5</c:f>
              <c:strCache>
                <c:ptCount val="3"/>
                <c:pt idx="0">
                  <c:v>Jan</c:v>
                </c:pt>
                <c:pt idx="1">
                  <c:v>Feb</c:v>
                </c:pt>
                <c:pt idx="2">
                  <c:v>Mar</c:v>
                </c:pt>
              </c:strCache>
            </c:strRef>
          </c:cat>
          <c:val>
            <c:numRef>
              <c:f>'no 4'!$B$2:$B$5</c:f>
              <c:numCache>
                <c:formatCode>General</c:formatCode>
                <c:ptCount val="3"/>
                <c:pt idx="0">
                  <c:v>108417</c:v>
                </c:pt>
                <c:pt idx="1">
                  <c:v>86552</c:v>
                </c:pt>
                <c:pt idx="2">
                  <c:v>75631</c:v>
                </c:pt>
              </c:numCache>
            </c:numRef>
          </c:val>
          <c:extLst>
            <c:ext xmlns:c16="http://schemas.microsoft.com/office/drawing/2014/chart" uri="{C3380CC4-5D6E-409C-BE32-E72D297353CC}">
              <c16:uniqueId val="{00000000-C36C-4F55-84C2-110C1A49BF3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[Pavithra project.xlsx]no 5!PivotTable5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LOCATION</a:t>
            </a:r>
            <a:r>
              <a:rPr lang="en-US" baseline="0"/>
              <a:t> OF SOLD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'no 5'!$B$1</c:f>
              <c:strCache>
                <c:ptCount val="1"/>
                <c:pt idx="0">
                  <c:v>Total</c:v>
                </c:pt>
              </c:strCache>
            </c:strRef>
          </c:tx>
          <c:spPr>
            <a:ln w="28575" cap="rnd">
              <a:solidFill>
                <a:schemeClr val="accent1"/>
              </a:solidFill>
              <a:round/>
            </a:ln>
            <a:effectLst/>
          </c:spPr>
          <c:marker>
            <c:symbol val="none"/>
          </c:marker>
          <c:cat>
            <c:strRef>
              <c:f>'no 5'!$A$2:$A$7</c:f>
              <c:strCache>
                <c:ptCount val="5"/>
                <c:pt idx="0">
                  <c:v>Bangalore</c:v>
                </c:pt>
                <c:pt idx="1">
                  <c:v>Chennai</c:v>
                </c:pt>
                <c:pt idx="2">
                  <c:v>Delhi</c:v>
                </c:pt>
                <c:pt idx="3">
                  <c:v>Hyderabad</c:v>
                </c:pt>
                <c:pt idx="4">
                  <c:v>Mumbai</c:v>
                </c:pt>
              </c:strCache>
            </c:strRef>
          </c:cat>
          <c:val>
            <c:numRef>
              <c:f>'no 5'!$B$2:$B$7</c:f>
              <c:numCache>
                <c:formatCode>General</c:formatCode>
                <c:ptCount val="5"/>
                <c:pt idx="0">
                  <c:v>360</c:v>
                </c:pt>
                <c:pt idx="1">
                  <c:v>393</c:v>
                </c:pt>
                <c:pt idx="2">
                  <c:v>339</c:v>
                </c:pt>
                <c:pt idx="3">
                  <c:v>331</c:v>
                </c:pt>
                <c:pt idx="4">
                  <c:v>348</c:v>
                </c:pt>
              </c:numCache>
            </c:numRef>
          </c:val>
          <c:smooth val="0"/>
          <c:extLst>
            <c:ext xmlns:c16="http://schemas.microsoft.com/office/drawing/2014/chart" uri="{C3380CC4-5D6E-409C-BE32-E72D297353CC}">
              <c16:uniqueId val="{00000000-90FC-4EFE-926F-7BC1F1687DE2}"/>
            </c:ext>
          </c:extLst>
        </c:ser>
        <c:dLbls>
          <c:showLegendKey val="0"/>
          <c:showVal val="0"/>
          <c:showCatName val="0"/>
          <c:showSerName val="0"/>
          <c:showPercent val="0"/>
          <c:showBubbleSize val="0"/>
        </c:dLbls>
        <c:smooth val="0"/>
        <c:axId val="1260456111"/>
        <c:axId val="1260457071"/>
      </c:lineChart>
      <c:catAx>
        <c:axId val="1260456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457071"/>
        <c:crosses val="autoZero"/>
        <c:auto val="1"/>
        <c:lblAlgn val="ctr"/>
        <c:lblOffset val="100"/>
        <c:noMultiLvlLbl val="0"/>
      </c:catAx>
      <c:valAx>
        <c:axId val="1260457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4561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[Pavithra project.xlsx]no 6!PivotTable6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SOLD</a:t>
            </a:r>
            <a:r>
              <a:rPr lang="en-US" baseline="0"/>
              <a:t> BY SALES REP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'no 6'!$B$1</c:f>
              <c:strCache>
                <c:ptCount val="1"/>
                <c:pt idx="0">
                  <c:v>Total</c:v>
                </c:pt>
              </c:strCache>
            </c:strRef>
          </c:tx>
          <c:spPr>
            <a:solidFill>
              <a:schemeClr val="accent1"/>
            </a:solidFill>
            <a:ln>
              <a:noFill/>
            </a:ln>
            <a:effectLst/>
          </c:spPr>
          <c:invertIfNegative val="0"/>
          <c:cat>
            <c:strRef>
              <c:f>'no 6'!$A$2:$A$7</c:f>
              <c:strCache>
                <c:ptCount val="5"/>
                <c:pt idx="0">
                  <c:v>Amit</c:v>
                </c:pt>
                <c:pt idx="1">
                  <c:v>Arjun</c:v>
                </c:pt>
                <c:pt idx="2">
                  <c:v>Karan</c:v>
                </c:pt>
                <c:pt idx="3">
                  <c:v>Neha</c:v>
                </c:pt>
                <c:pt idx="4">
                  <c:v>Riya</c:v>
                </c:pt>
              </c:strCache>
            </c:strRef>
          </c:cat>
          <c:val>
            <c:numRef>
              <c:f>'no 6'!$B$2:$B$7</c:f>
              <c:numCache>
                <c:formatCode>General</c:formatCode>
                <c:ptCount val="5"/>
                <c:pt idx="0">
                  <c:v>413</c:v>
                </c:pt>
                <c:pt idx="1">
                  <c:v>367</c:v>
                </c:pt>
                <c:pt idx="2">
                  <c:v>327</c:v>
                </c:pt>
                <c:pt idx="3">
                  <c:v>342</c:v>
                </c:pt>
                <c:pt idx="4">
                  <c:v>322</c:v>
                </c:pt>
              </c:numCache>
            </c:numRef>
          </c:val>
          <c:extLst>
            <c:ext xmlns:c16="http://schemas.microsoft.com/office/drawing/2014/chart" uri="{C3380CC4-5D6E-409C-BE32-E72D297353CC}">
              <c16:uniqueId val="{00000000-1699-4263-B0A9-5DCEF0C25F59}"/>
            </c:ext>
          </c:extLst>
        </c:ser>
        <c:dLbls>
          <c:showLegendKey val="0"/>
          <c:showVal val="0"/>
          <c:showCatName val="0"/>
          <c:showSerName val="0"/>
          <c:showPercent val="0"/>
          <c:showBubbleSize val="0"/>
        </c:dLbls>
        <c:gapWidth val="219"/>
        <c:overlap val="-27"/>
        <c:axId val="1382546575"/>
        <c:axId val="1382540815"/>
      </c:barChart>
      <c:catAx>
        <c:axId val="1382546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2540815"/>
        <c:crosses val="autoZero"/>
        <c:auto val="1"/>
        <c:lblAlgn val="ctr"/>
        <c:lblOffset val="100"/>
        <c:noMultiLvlLbl val="0"/>
      </c:catAx>
      <c:valAx>
        <c:axId val="13825408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25465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[Pavithra project.xlsx]no 1!PivotTable1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QUANTITY</a:t>
            </a:r>
            <a:r>
              <a:rPr lang="en-IN" baseline="0"/>
              <a:t> SOLD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'no 1'!$C$3</c:f>
              <c:strCache>
                <c:ptCount val="1"/>
                <c:pt idx="0">
                  <c:v>Total</c:v>
                </c:pt>
              </c:strCache>
            </c:strRef>
          </c:tx>
          <c:spPr>
            <a:solidFill>
              <a:schemeClr val="accent1"/>
            </a:solidFill>
            <a:ln>
              <a:noFill/>
            </a:ln>
            <a:effectLst/>
          </c:spPr>
          <c:invertIfNegative val="0"/>
          <c:cat>
            <c:strRef>
              <c:f>'no 1'!$B$4:$B$7</c:f>
              <c:strCache>
                <c:ptCount val="3"/>
                <c:pt idx="0">
                  <c:v>Bakery</c:v>
                </c:pt>
                <c:pt idx="1">
                  <c:v>Coffee</c:v>
                </c:pt>
                <c:pt idx="2">
                  <c:v>Tea</c:v>
                </c:pt>
              </c:strCache>
            </c:strRef>
          </c:cat>
          <c:val>
            <c:numRef>
              <c:f>'no 1'!$C$4:$C$7</c:f>
              <c:numCache>
                <c:formatCode>General</c:formatCode>
                <c:ptCount val="3"/>
                <c:pt idx="0">
                  <c:v>568</c:v>
                </c:pt>
                <c:pt idx="1">
                  <c:v>636</c:v>
                </c:pt>
                <c:pt idx="2">
                  <c:v>567</c:v>
                </c:pt>
              </c:numCache>
            </c:numRef>
          </c:val>
          <c:extLst>
            <c:ext xmlns:c16="http://schemas.microsoft.com/office/drawing/2014/chart" uri="{C3380CC4-5D6E-409C-BE32-E72D297353CC}">
              <c16:uniqueId val="{00000000-9346-4537-991A-F0188038A3A6}"/>
            </c:ext>
          </c:extLst>
        </c:ser>
        <c:dLbls>
          <c:showLegendKey val="0"/>
          <c:showVal val="0"/>
          <c:showCatName val="0"/>
          <c:showSerName val="0"/>
          <c:showPercent val="0"/>
          <c:showBubbleSize val="0"/>
        </c:dLbls>
        <c:gapWidth val="182"/>
        <c:axId val="1260454191"/>
        <c:axId val="1260455151"/>
      </c:barChart>
      <c:catAx>
        <c:axId val="12604541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455151"/>
        <c:crosses val="autoZero"/>
        <c:auto val="1"/>
        <c:lblAlgn val="ctr"/>
        <c:lblOffset val="100"/>
        <c:noMultiLvlLbl val="0"/>
      </c:catAx>
      <c:valAx>
        <c:axId val="12604551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4541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[Pavithra project.xlsx]no 2!PivotTable2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AMOUNT</a:t>
            </a:r>
            <a:endParaRPr lang="en-US"/>
          </a:p>
        </c:rich>
      </c:tx>
      <c:layout>
        <c:manualLayout>
          <c:xMode val="edge"/>
          <c:yMode val="edge"/>
          <c:x val="0.4492707786526684"/>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944035624145652"/>
          <c:y val="0.34646896960460588"/>
          <c:w val="0.64142082239720033"/>
          <c:h val="0.43994276757072032"/>
        </c:manualLayout>
      </c:layout>
      <c:areaChart>
        <c:grouping val="standard"/>
        <c:varyColors val="0"/>
        <c:ser>
          <c:idx val="0"/>
          <c:order val="0"/>
          <c:tx>
            <c:strRef>
              <c:f>'no 2'!$B$1</c:f>
              <c:strCache>
                <c:ptCount val="1"/>
                <c:pt idx="0">
                  <c:v>Total</c:v>
                </c:pt>
              </c:strCache>
            </c:strRef>
          </c:tx>
          <c:spPr>
            <a:solidFill>
              <a:schemeClr val="accent1"/>
            </a:solidFill>
            <a:ln>
              <a:noFill/>
            </a:ln>
            <a:effectLst/>
          </c:spPr>
          <c:cat>
            <c:strRef>
              <c:f>'no 2'!$A$2:$A$4</c:f>
              <c:strCache>
                <c:ptCount val="2"/>
                <c:pt idx="0">
                  <c:v>Regular</c:v>
                </c:pt>
                <c:pt idx="1">
                  <c:v>Walk-in</c:v>
                </c:pt>
              </c:strCache>
            </c:strRef>
          </c:cat>
          <c:val>
            <c:numRef>
              <c:f>'no 2'!$B$2:$B$4</c:f>
              <c:numCache>
                <c:formatCode>General</c:formatCode>
                <c:ptCount val="2"/>
                <c:pt idx="0">
                  <c:v>135392</c:v>
                </c:pt>
                <c:pt idx="1">
                  <c:v>135208</c:v>
                </c:pt>
              </c:numCache>
            </c:numRef>
          </c:val>
          <c:extLst>
            <c:ext xmlns:c16="http://schemas.microsoft.com/office/drawing/2014/chart" uri="{C3380CC4-5D6E-409C-BE32-E72D297353CC}">
              <c16:uniqueId val="{00000000-5ECA-4A6B-8BA1-F7660BF33501}"/>
            </c:ext>
          </c:extLst>
        </c:ser>
        <c:dLbls>
          <c:showLegendKey val="0"/>
          <c:showVal val="0"/>
          <c:showCatName val="0"/>
          <c:showSerName val="0"/>
          <c:showPercent val="0"/>
          <c:showBubbleSize val="0"/>
        </c:dLbls>
        <c:axId val="1249421695"/>
        <c:axId val="1249420255"/>
      </c:areaChart>
      <c:catAx>
        <c:axId val="1249421695"/>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420255"/>
        <c:crosses val="autoZero"/>
        <c:auto val="1"/>
        <c:lblAlgn val="ctr"/>
        <c:lblOffset val="100"/>
        <c:noMultiLvlLbl val="0"/>
      </c:catAx>
      <c:valAx>
        <c:axId val="1249420255"/>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421695"/>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[Pavithra project.xlsx]no 3!PivotTable3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OF AMOUNT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37972924081624"/>
          <c:y val="0.25865522018081066"/>
          <c:w val="0.78774803534724713"/>
          <c:h val="0.53811424613589964"/>
        </c:manualLayout>
      </c:layout>
      <c:barChart>
        <c:barDir val="col"/>
        <c:grouping val="clustered"/>
        <c:varyColors val="0"/>
        <c:ser>
          <c:idx val="0"/>
          <c:order val="0"/>
          <c:tx>
            <c:strRef>
              <c:f>'no 3'!$C$6</c:f>
              <c:strCache>
                <c:ptCount val="1"/>
                <c:pt idx="0">
                  <c:v>Total</c:v>
                </c:pt>
              </c:strCache>
            </c:strRef>
          </c:tx>
          <c:spPr>
            <a:solidFill>
              <a:schemeClr val="accent1"/>
            </a:solidFill>
            <a:ln>
              <a:noFill/>
            </a:ln>
            <a:effectLst/>
          </c:spPr>
          <c:invertIfNegative val="0"/>
          <c:cat>
            <c:strRef>
              <c:f>'no 3'!$B$7:$B$10</c:f>
              <c:strCache>
                <c:ptCount val="3"/>
                <c:pt idx="0">
                  <c:v>Card</c:v>
                </c:pt>
                <c:pt idx="1">
                  <c:v>Cash</c:v>
                </c:pt>
                <c:pt idx="2">
                  <c:v>UPI</c:v>
                </c:pt>
              </c:strCache>
            </c:strRef>
          </c:cat>
          <c:val>
            <c:numRef>
              <c:f>'no 3'!$C$7:$C$10</c:f>
              <c:numCache>
                <c:formatCode>General</c:formatCode>
                <c:ptCount val="3"/>
                <c:pt idx="0">
                  <c:v>81559</c:v>
                </c:pt>
                <c:pt idx="1">
                  <c:v>92456</c:v>
                </c:pt>
                <c:pt idx="2">
                  <c:v>96585</c:v>
                </c:pt>
              </c:numCache>
            </c:numRef>
          </c:val>
          <c:extLst>
            <c:ext xmlns:c16="http://schemas.microsoft.com/office/drawing/2014/chart" uri="{C3380CC4-5D6E-409C-BE32-E72D297353CC}">
              <c16:uniqueId val="{00000000-FA8D-45FE-B10B-C558F7F981D9}"/>
            </c:ext>
          </c:extLst>
        </c:ser>
        <c:dLbls>
          <c:showLegendKey val="0"/>
          <c:showVal val="0"/>
          <c:showCatName val="0"/>
          <c:showSerName val="0"/>
          <c:showPercent val="0"/>
          <c:showBubbleSize val="0"/>
        </c:dLbls>
        <c:gapWidth val="219"/>
        <c:overlap val="-27"/>
        <c:axId val="1260458991"/>
        <c:axId val="1375017103"/>
      </c:barChart>
      <c:catAx>
        <c:axId val="1260458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017103"/>
        <c:crosses val="autoZero"/>
        <c:auto val="1"/>
        <c:lblAlgn val="ctr"/>
        <c:lblOffset val="100"/>
        <c:noMultiLvlLbl val="0"/>
      </c:catAx>
      <c:valAx>
        <c:axId val="13750171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4589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[Pavithra project.xlsx]no 4!PivotTable4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a:t>
            </a:r>
            <a:r>
              <a:rPr lang="en-IN" baseline="0"/>
              <a:t> OF SALES AMOUNT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'no 4'!$B$1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E6A-484F-AC43-91B79F56428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E6A-484F-AC43-91B79F56428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E6A-484F-AC43-91B79F56428E}"/>
              </c:ext>
            </c:extLst>
          </c:dPt>
          <c:cat>
            <c:strRef>
              <c:f>'no 4'!$A$2:$A$5</c:f>
              <c:strCache>
                <c:ptCount val="3"/>
                <c:pt idx="0">
                  <c:v>Jan</c:v>
                </c:pt>
                <c:pt idx="1">
                  <c:v>Feb</c:v>
                </c:pt>
                <c:pt idx="2">
                  <c:v>Mar</c:v>
                </c:pt>
              </c:strCache>
            </c:strRef>
          </c:cat>
          <c:val>
            <c:numRef>
              <c:f>'no 4'!$B$2:$B$5</c:f>
              <c:numCache>
                <c:formatCode>General</c:formatCode>
                <c:ptCount val="3"/>
                <c:pt idx="0">
                  <c:v>108417</c:v>
                </c:pt>
                <c:pt idx="1">
                  <c:v>86552</c:v>
                </c:pt>
                <c:pt idx="2">
                  <c:v>75631</c:v>
                </c:pt>
              </c:numCache>
            </c:numRef>
          </c:val>
          <c:extLst>
            <c:ext xmlns:c16="http://schemas.microsoft.com/office/drawing/2014/chart" uri="{C3380CC4-5D6E-409C-BE32-E72D297353CC}">
              <c16:uniqueId val="{00000006-AE6A-484F-AC43-91B79F56428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[Pavithra project.xlsx]no 5!PivotTable5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LOCATION</a:t>
            </a:r>
            <a:r>
              <a:rPr lang="en-US" baseline="0"/>
              <a:t> OF SOLD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'no 5'!$B$1</c:f>
              <c:strCache>
                <c:ptCount val="1"/>
                <c:pt idx="0">
                  <c:v>Total</c:v>
                </c:pt>
              </c:strCache>
            </c:strRef>
          </c:tx>
          <c:spPr>
            <a:ln w="28575" cap="rnd">
              <a:solidFill>
                <a:schemeClr val="accent1"/>
              </a:solidFill>
              <a:round/>
            </a:ln>
            <a:effectLst/>
          </c:spPr>
          <c:marker>
            <c:symbol val="none"/>
          </c:marker>
          <c:cat>
            <c:strRef>
              <c:f>'no 5'!$A$2:$A$7</c:f>
              <c:strCache>
                <c:ptCount val="5"/>
                <c:pt idx="0">
                  <c:v>Bangalore</c:v>
                </c:pt>
                <c:pt idx="1">
                  <c:v>Chennai</c:v>
                </c:pt>
                <c:pt idx="2">
                  <c:v>Delhi</c:v>
                </c:pt>
                <c:pt idx="3">
                  <c:v>Hyderabad</c:v>
                </c:pt>
                <c:pt idx="4">
                  <c:v>Mumbai</c:v>
                </c:pt>
              </c:strCache>
            </c:strRef>
          </c:cat>
          <c:val>
            <c:numRef>
              <c:f>'no 5'!$B$2:$B$7</c:f>
              <c:numCache>
                <c:formatCode>General</c:formatCode>
                <c:ptCount val="5"/>
                <c:pt idx="0">
                  <c:v>360</c:v>
                </c:pt>
                <c:pt idx="1">
                  <c:v>393</c:v>
                </c:pt>
                <c:pt idx="2">
                  <c:v>339</c:v>
                </c:pt>
                <c:pt idx="3">
                  <c:v>331</c:v>
                </c:pt>
                <c:pt idx="4">
                  <c:v>348</c:v>
                </c:pt>
              </c:numCache>
            </c:numRef>
          </c:val>
          <c:smooth val="0"/>
          <c:extLst>
            <c:ext xmlns:c16="http://schemas.microsoft.com/office/drawing/2014/chart" uri="{C3380CC4-5D6E-409C-BE32-E72D297353CC}">
              <c16:uniqueId val="{00000000-46AC-4B2C-864C-BF09E0BB5B5F}"/>
            </c:ext>
          </c:extLst>
        </c:ser>
        <c:dLbls>
          <c:showLegendKey val="0"/>
          <c:showVal val="0"/>
          <c:showCatName val="0"/>
          <c:showSerName val="0"/>
          <c:showPercent val="0"/>
          <c:showBubbleSize val="0"/>
        </c:dLbls>
        <c:smooth val="0"/>
        <c:axId val="1260456111"/>
        <c:axId val="1260457071"/>
      </c:lineChart>
      <c:catAx>
        <c:axId val="1260456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457071"/>
        <c:crosses val="autoZero"/>
        <c:auto val="1"/>
        <c:lblAlgn val="ctr"/>
        <c:lblOffset val="100"/>
        <c:noMultiLvlLbl val="0"/>
      </c:catAx>
      <c:valAx>
        <c:axId val="12604570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4561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[Pavithra project.xlsx]no 6!PivotTable6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SOLD</a:t>
            </a:r>
            <a:r>
              <a:rPr lang="en-US" baseline="0"/>
              <a:t> BY SALES REP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238392614716258E-2"/>
          <c:y val="0.27999756872392861"/>
          <c:w val="0.86383057290252507"/>
          <c:h val="0.46144472204818859"/>
        </c:manualLayout>
      </c:layout>
      <c:barChart>
        <c:barDir val="col"/>
        <c:grouping val="clustered"/>
        <c:varyColors val="0"/>
        <c:ser>
          <c:idx val="0"/>
          <c:order val="0"/>
          <c:tx>
            <c:strRef>
              <c:f>'no 6'!$B$1</c:f>
              <c:strCache>
                <c:ptCount val="1"/>
                <c:pt idx="0">
                  <c:v>Total</c:v>
                </c:pt>
              </c:strCache>
            </c:strRef>
          </c:tx>
          <c:spPr>
            <a:solidFill>
              <a:schemeClr val="accent1"/>
            </a:solidFill>
            <a:ln>
              <a:noFill/>
            </a:ln>
            <a:effectLst/>
          </c:spPr>
          <c:invertIfNegative val="0"/>
          <c:cat>
            <c:strRef>
              <c:f>'no 6'!$A$2:$A$7</c:f>
              <c:strCache>
                <c:ptCount val="5"/>
                <c:pt idx="0">
                  <c:v>Amit</c:v>
                </c:pt>
                <c:pt idx="1">
                  <c:v>Arjun</c:v>
                </c:pt>
                <c:pt idx="2">
                  <c:v>Karan</c:v>
                </c:pt>
                <c:pt idx="3">
                  <c:v>Neha</c:v>
                </c:pt>
                <c:pt idx="4">
                  <c:v>Riya</c:v>
                </c:pt>
              </c:strCache>
            </c:strRef>
          </c:cat>
          <c:val>
            <c:numRef>
              <c:f>'no 6'!$B$2:$B$7</c:f>
              <c:numCache>
                <c:formatCode>General</c:formatCode>
                <c:ptCount val="5"/>
                <c:pt idx="0">
                  <c:v>413</c:v>
                </c:pt>
                <c:pt idx="1">
                  <c:v>367</c:v>
                </c:pt>
                <c:pt idx="2">
                  <c:v>327</c:v>
                </c:pt>
                <c:pt idx="3">
                  <c:v>342</c:v>
                </c:pt>
                <c:pt idx="4">
                  <c:v>322</c:v>
                </c:pt>
              </c:numCache>
            </c:numRef>
          </c:val>
          <c:extLst>
            <c:ext xmlns:c16="http://schemas.microsoft.com/office/drawing/2014/chart" uri="{C3380CC4-5D6E-409C-BE32-E72D297353CC}">
              <c16:uniqueId val="{00000000-C1A5-4652-B9F8-6816A750E49B}"/>
            </c:ext>
          </c:extLst>
        </c:ser>
        <c:dLbls>
          <c:showLegendKey val="0"/>
          <c:showVal val="0"/>
          <c:showCatName val="0"/>
          <c:showSerName val="0"/>
          <c:showPercent val="0"/>
          <c:showBubbleSize val="0"/>
        </c:dLbls>
        <c:gapWidth val="219"/>
        <c:overlap val="-27"/>
        <c:axId val="1382546575"/>
        <c:axId val="1382540815"/>
      </c:barChart>
      <c:catAx>
        <c:axId val="1382546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2540815"/>
        <c:crosses val="autoZero"/>
        <c:auto val="1"/>
        <c:lblAlgn val="ctr"/>
        <c:lblOffset val="100"/>
        <c:noMultiLvlLbl val="0"/>
      </c:catAx>
      <c:valAx>
        <c:axId val="13825408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25465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85725</xdr:colOff>
      <xdr:row>2</xdr:row>
      <xdr:rowOff>71437</xdr:rowOff>
    </xdr:from>
    <xdr:to>
      <xdr:col>11</xdr:col>
      <xdr:colOff>390525</xdr:colOff>
      <xdr:row>16</xdr:row>
      <xdr:rowOff>147637</xdr:rowOff>
    </xdr:to>
    <xdr:graphicFrame macro="">
      <xdr:nvGraphicFramePr>
        <xdr:cNvPr id="3" name="Chart 2">
          <a:extLst>
            <a:ext uri="{FF2B5EF4-FFF2-40B4-BE49-F238E27FC236}">
              <a16:creationId xmlns:a16="http://schemas.microsoft.com/office/drawing/2014/main" id="{5234681E-FCFA-1353-8566-525FCEA939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85725</xdr:colOff>
      <xdr:row>3</xdr:row>
      <xdr:rowOff>71437</xdr:rowOff>
    </xdr:from>
    <xdr:to>
      <xdr:col>11</xdr:col>
      <xdr:colOff>390525</xdr:colOff>
      <xdr:row>17</xdr:row>
      <xdr:rowOff>147637</xdr:rowOff>
    </xdr:to>
    <xdr:graphicFrame macro="">
      <xdr:nvGraphicFramePr>
        <xdr:cNvPr id="2" name="Chart 1">
          <a:extLst>
            <a:ext uri="{FF2B5EF4-FFF2-40B4-BE49-F238E27FC236}">
              <a16:creationId xmlns:a16="http://schemas.microsoft.com/office/drawing/2014/main" id="{73019027-A360-020F-A8D4-730A51AB96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47625</xdr:colOff>
      <xdr:row>4</xdr:row>
      <xdr:rowOff>104775</xdr:rowOff>
    </xdr:from>
    <xdr:to>
      <xdr:col>8</xdr:col>
      <xdr:colOff>47625</xdr:colOff>
      <xdr:row>18</xdr:row>
      <xdr:rowOff>104775</xdr:rowOff>
    </xdr:to>
    <mc:AlternateContent xmlns:mc="http://schemas.openxmlformats.org/markup-compatibility/2006">
      <mc:Choice xmlns:a14="http://schemas.microsoft.com/office/drawing/2010/main" Requires="a14">
        <xdr:graphicFrame macro="">
          <xdr:nvGraphicFramePr>
            <xdr:cNvPr id="3" name="Product Category">
              <a:extLst>
                <a:ext uri="{FF2B5EF4-FFF2-40B4-BE49-F238E27FC236}">
                  <a16:creationId xmlns:a16="http://schemas.microsoft.com/office/drawing/2014/main" id="{42BD3897-9C78-EC14-6CB2-D02BA805AC3E}"/>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4124325" y="86677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95250</xdr:colOff>
      <xdr:row>2</xdr:row>
      <xdr:rowOff>23812</xdr:rowOff>
    </xdr:from>
    <xdr:to>
      <xdr:col>12</xdr:col>
      <xdr:colOff>400050</xdr:colOff>
      <xdr:row>16</xdr:row>
      <xdr:rowOff>100012</xdr:rowOff>
    </xdr:to>
    <xdr:graphicFrame macro="">
      <xdr:nvGraphicFramePr>
        <xdr:cNvPr id="2" name="Chart 1">
          <a:extLst>
            <a:ext uri="{FF2B5EF4-FFF2-40B4-BE49-F238E27FC236}">
              <a16:creationId xmlns:a16="http://schemas.microsoft.com/office/drawing/2014/main" id="{4F1CF7DF-DF3C-E95E-D6EB-6DF001D7A5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28575</xdr:colOff>
      <xdr:row>3</xdr:row>
      <xdr:rowOff>90487</xdr:rowOff>
    </xdr:from>
    <xdr:to>
      <xdr:col>11</xdr:col>
      <xdr:colOff>333375</xdr:colOff>
      <xdr:row>17</xdr:row>
      <xdr:rowOff>166687</xdr:rowOff>
    </xdr:to>
    <xdr:graphicFrame macro="">
      <xdr:nvGraphicFramePr>
        <xdr:cNvPr id="2" name="Chart 1">
          <a:extLst>
            <a:ext uri="{FF2B5EF4-FFF2-40B4-BE49-F238E27FC236}">
              <a16:creationId xmlns:a16="http://schemas.microsoft.com/office/drawing/2014/main" id="{594FD2EE-EF04-7290-A7A3-FB675F3C36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571500</xdr:colOff>
      <xdr:row>2</xdr:row>
      <xdr:rowOff>100012</xdr:rowOff>
    </xdr:from>
    <xdr:to>
      <xdr:col>11</xdr:col>
      <xdr:colOff>266700</xdr:colOff>
      <xdr:row>16</xdr:row>
      <xdr:rowOff>176212</xdr:rowOff>
    </xdr:to>
    <xdr:graphicFrame macro="">
      <xdr:nvGraphicFramePr>
        <xdr:cNvPr id="2" name="Chart 1">
          <a:extLst>
            <a:ext uri="{FF2B5EF4-FFF2-40B4-BE49-F238E27FC236}">
              <a16:creationId xmlns:a16="http://schemas.microsoft.com/office/drawing/2014/main" id="{CE92156F-AE9C-9B30-A135-EDFBEB2519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304800</xdr:colOff>
      <xdr:row>2</xdr:row>
      <xdr:rowOff>119062</xdr:rowOff>
    </xdr:from>
    <xdr:to>
      <xdr:col>11</xdr:col>
      <xdr:colOff>0</xdr:colOff>
      <xdr:row>17</xdr:row>
      <xdr:rowOff>4762</xdr:rowOff>
    </xdr:to>
    <xdr:graphicFrame macro="">
      <xdr:nvGraphicFramePr>
        <xdr:cNvPr id="2" name="Chart 1">
          <a:extLst>
            <a:ext uri="{FF2B5EF4-FFF2-40B4-BE49-F238E27FC236}">
              <a16:creationId xmlns:a16="http://schemas.microsoft.com/office/drawing/2014/main" id="{E90C9558-FF98-0EB4-C67E-2FF167CF6B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19050</xdr:colOff>
      <xdr:row>0</xdr:row>
      <xdr:rowOff>9523</xdr:rowOff>
    </xdr:from>
    <xdr:to>
      <xdr:col>4</xdr:col>
      <xdr:colOff>171450</xdr:colOff>
      <xdr:row>27</xdr:row>
      <xdr:rowOff>42333</xdr:rowOff>
    </xdr:to>
    <xdr:sp macro="" textlink="">
      <xdr:nvSpPr>
        <xdr:cNvPr id="2" name="Rectangle 1">
          <a:extLst>
            <a:ext uri="{FF2B5EF4-FFF2-40B4-BE49-F238E27FC236}">
              <a16:creationId xmlns:a16="http://schemas.microsoft.com/office/drawing/2014/main" id="{1D6987F8-9A32-2350-E1B2-10D3A91C75D8}"/>
            </a:ext>
          </a:extLst>
        </xdr:cNvPr>
        <xdr:cNvSpPr/>
      </xdr:nvSpPr>
      <xdr:spPr>
        <a:xfrm>
          <a:off x="19050" y="9523"/>
          <a:ext cx="2607733" cy="5176310"/>
        </a:xfrm>
        <a:prstGeom prst="rect">
          <a:avLst/>
        </a:prstGeom>
        <a:solidFill>
          <a:schemeClr val="accent6">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200024</xdr:colOff>
      <xdr:row>0</xdr:row>
      <xdr:rowOff>1</xdr:rowOff>
    </xdr:from>
    <xdr:to>
      <xdr:col>27</xdr:col>
      <xdr:colOff>582083</xdr:colOff>
      <xdr:row>27</xdr:row>
      <xdr:rowOff>63500</xdr:rowOff>
    </xdr:to>
    <xdr:sp macro="" textlink="">
      <xdr:nvSpPr>
        <xdr:cNvPr id="3" name="Rectangle 2">
          <a:extLst>
            <a:ext uri="{FF2B5EF4-FFF2-40B4-BE49-F238E27FC236}">
              <a16:creationId xmlns:a16="http://schemas.microsoft.com/office/drawing/2014/main" id="{7587C2B7-1C2B-FF30-27F6-57C4F3FE88C2}"/>
            </a:ext>
          </a:extLst>
        </xdr:cNvPr>
        <xdr:cNvSpPr/>
      </xdr:nvSpPr>
      <xdr:spPr>
        <a:xfrm>
          <a:off x="2655357" y="1"/>
          <a:ext cx="14500226" cy="5206999"/>
        </a:xfrm>
        <a:prstGeom prst="rect">
          <a:avLst/>
        </a:prstGeom>
        <a:solidFill>
          <a:schemeClr val="accent6">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85725</xdr:colOff>
      <xdr:row>0</xdr:row>
      <xdr:rowOff>76200</xdr:rowOff>
    </xdr:from>
    <xdr:to>
      <xdr:col>4</xdr:col>
      <xdr:colOff>152400</xdr:colOff>
      <xdr:row>3</xdr:row>
      <xdr:rowOff>132207</xdr:rowOff>
    </xdr:to>
    <xdr:sp macro="" textlink="Sheet2!D3">
      <xdr:nvSpPr>
        <xdr:cNvPr id="4" name="Arrow: Pentagon 3">
          <a:extLst>
            <a:ext uri="{FF2B5EF4-FFF2-40B4-BE49-F238E27FC236}">
              <a16:creationId xmlns:a16="http://schemas.microsoft.com/office/drawing/2014/main" id="{BB3222CF-56DA-F308-391F-89C1975A61C0}"/>
            </a:ext>
          </a:extLst>
        </xdr:cNvPr>
        <xdr:cNvSpPr/>
      </xdr:nvSpPr>
      <xdr:spPr>
        <a:xfrm>
          <a:off x="85725" y="76200"/>
          <a:ext cx="2505075" cy="627507"/>
        </a:xfrm>
        <a:prstGeom prst="homePlate">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749A243-941D-48AA-9F53-27482FBBF649}" type="TxLink">
            <a:rPr lang="en-US" sz="2800" b="0" i="0" u="none" strike="noStrike">
              <a:solidFill>
                <a:schemeClr val="tx1"/>
              </a:solidFill>
              <a:latin typeface="Cambria" panose="02040503050406030204" pitchFamily="18" charset="0"/>
              <a:ea typeface="Cambria" panose="02040503050406030204" pitchFamily="18" charset="0"/>
            </a:rPr>
            <a:pPr algn="ctr"/>
            <a:t>Revenue</a:t>
          </a:fld>
          <a:endParaRPr lang="en-IN" sz="2800">
            <a:solidFill>
              <a:schemeClr val="tx1"/>
            </a:solidFill>
            <a:latin typeface="Cambria" panose="02040503050406030204" pitchFamily="18" charset="0"/>
            <a:ea typeface="Cambria" panose="02040503050406030204" pitchFamily="18" charset="0"/>
          </a:endParaRPr>
        </a:p>
      </xdr:txBody>
    </xdr:sp>
    <xdr:clientData/>
  </xdr:twoCellAnchor>
  <xdr:twoCellAnchor>
    <xdr:from>
      <xdr:col>0</xdr:col>
      <xdr:colOff>84666</xdr:colOff>
      <xdr:row>4</xdr:row>
      <xdr:rowOff>91017</xdr:rowOff>
    </xdr:from>
    <xdr:to>
      <xdr:col>4</xdr:col>
      <xdr:colOff>151341</xdr:colOff>
      <xdr:row>7</xdr:row>
      <xdr:rowOff>147024</xdr:rowOff>
    </xdr:to>
    <xdr:sp macro="" textlink="Sheet2!D4">
      <xdr:nvSpPr>
        <xdr:cNvPr id="6" name="Arrow: Pentagon 5">
          <a:extLst>
            <a:ext uri="{FF2B5EF4-FFF2-40B4-BE49-F238E27FC236}">
              <a16:creationId xmlns:a16="http://schemas.microsoft.com/office/drawing/2014/main" id="{F77B7918-25B4-3064-C8D1-CD99E5015D03}"/>
            </a:ext>
          </a:extLst>
        </xdr:cNvPr>
        <xdr:cNvSpPr/>
      </xdr:nvSpPr>
      <xdr:spPr>
        <a:xfrm>
          <a:off x="84666" y="853017"/>
          <a:ext cx="2522008" cy="627507"/>
        </a:xfrm>
        <a:prstGeom prst="homePlate">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AEF0DE52-795F-4610-8219-BAF23FF9A0AF}" type="TxLink">
            <a:rPr lang="en-US" sz="2800" b="0" i="0" u="none" strike="noStrike">
              <a:solidFill>
                <a:schemeClr val="tx1"/>
              </a:solidFill>
              <a:latin typeface="Cambria" panose="02040503050406030204" pitchFamily="18" charset="0"/>
              <a:ea typeface="Cambria" panose="02040503050406030204" pitchFamily="18" charset="0"/>
              <a:cs typeface="+mn-cs"/>
            </a:rPr>
            <a:pPr marL="0" indent="0" algn="ctr"/>
            <a:t>270600</a:t>
          </a:fld>
          <a:endParaRPr lang="en-IN" sz="2800" b="0" i="0" u="none" strike="noStrike">
            <a:solidFill>
              <a:schemeClr val="tx1"/>
            </a:solidFill>
            <a:latin typeface="Cambria" panose="02040503050406030204" pitchFamily="18" charset="0"/>
            <a:ea typeface="Cambria" panose="02040503050406030204" pitchFamily="18" charset="0"/>
            <a:cs typeface="+mn-cs"/>
          </a:endParaRPr>
        </a:p>
      </xdr:txBody>
    </xdr:sp>
    <xdr:clientData/>
  </xdr:twoCellAnchor>
  <xdr:twoCellAnchor>
    <xdr:from>
      <xdr:col>0</xdr:col>
      <xdr:colOff>73025</xdr:colOff>
      <xdr:row>9</xdr:row>
      <xdr:rowOff>11642</xdr:rowOff>
    </xdr:from>
    <xdr:to>
      <xdr:col>4</xdr:col>
      <xdr:colOff>139700</xdr:colOff>
      <xdr:row>12</xdr:row>
      <xdr:rowOff>67649</xdr:rowOff>
    </xdr:to>
    <xdr:sp macro="" textlink="Sheet2!E3">
      <xdr:nvSpPr>
        <xdr:cNvPr id="7" name="Arrow: Pentagon 6">
          <a:extLst>
            <a:ext uri="{FF2B5EF4-FFF2-40B4-BE49-F238E27FC236}">
              <a16:creationId xmlns:a16="http://schemas.microsoft.com/office/drawing/2014/main" id="{8677AA66-220D-EBA6-C728-109FC8F4D4D0}"/>
            </a:ext>
          </a:extLst>
        </xdr:cNvPr>
        <xdr:cNvSpPr/>
      </xdr:nvSpPr>
      <xdr:spPr>
        <a:xfrm>
          <a:off x="73025" y="1726142"/>
          <a:ext cx="2522008" cy="627507"/>
        </a:xfrm>
        <a:prstGeom prst="homePlate">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2D923D02-78F2-437A-AD52-9E99FE57807B}" type="TxLink">
            <a:rPr lang="en-US" sz="2800" b="0" i="0" u="none" strike="noStrike">
              <a:solidFill>
                <a:schemeClr val="tx1"/>
              </a:solidFill>
              <a:latin typeface="Cambria" panose="02040503050406030204" pitchFamily="18" charset="0"/>
              <a:ea typeface="Cambria" panose="02040503050406030204" pitchFamily="18" charset="0"/>
              <a:cs typeface="+mn-cs"/>
            </a:rPr>
            <a:pPr marL="0" indent="0" algn="ctr"/>
            <a:t>Quantity Sold</a:t>
          </a:fld>
          <a:endParaRPr lang="en-IN" sz="2800" b="0" i="0" u="none" strike="noStrike">
            <a:solidFill>
              <a:schemeClr val="tx1"/>
            </a:solidFill>
            <a:latin typeface="Cambria" panose="02040503050406030204" pitchFamily="18" charset="0"/>
            <a:ea typeface="Cambria" panose="02040503050406030204" pitchFamily="18" charset="0"/>
            <a:cs typeface="+mn-cs"/>
          </a:endParaRPr>
        </a:p>
      </xdr:txBody>
    </xdr:sp>
    <xdr:clientData/>
  </xdr:twoCellAnchor>
  <xdr:twoCellAnchor>
    <xdr:from>
      <xdr:col>0</xdr:col>
      <xdr:colOff>75142</xdr:colOff>
      <xdr:row>13</xdr:row>
      <xdr:rowOff>144992</xdr:rowOff>
    </xdr:from>
    <xdr:to>
      <xdr:col>4</xdr:col>
      <xdr:colOff>141817</xdr:colOff>
      <xdr:row>17</xdr:row>
      <xdr:rowOff>10499</xdr:rowOff>
    </xdr:to>
    <xdr:sp macro="" textlink="Sheet2!E4">
      <xdr:nvSpPr>
        <xdr:cNvPr id="8" name="Arrow: Pentagon 7">
          <a:extLst>
            <a:ext uri="{FF2B5EF4-FFF2-40B4-BE49-F238E27FC236}">
              <a16:creationId xmlns:a16="http://schemas.microsoft.com/office/drawing/2014/main" id="{4495FE1A-3B7B-BA2A-9DC6-264D10D71692}"/>
            </a:ext>
          </a:extLst>
        </xdr:cNvPr>
        <xdr:cNvSpPr/>
      </xdr:nvSpPr>
      <xdr:spPr>
        <a:xfrm>
          <a:off x="75142" y="2621492"/>
          <a:ext cx="2522008" cy="627507"/>
        </a:xfrm>
        <a:prstGeom prst="homePlate">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7734C7B-62CF-4919-9AAC-18E9B299AF25}" type="TxLink">
            <a:rPr lang="en-US" sz="2800" b="0" i="0" u="none" strike="noStrike">
              <a:solidFill>
                <a:schemeClr val="tx1"/>
              </a:solidFill>
              <a:latin typeface="Cambria" panose="02040503050406030204" pitchFamily="18" charset="0"/>
              <a:ea typeface="Cambria" panose="02040503050406030204" pitchFamily="18" charset="0"/>
              <a:cs typeface="+mn-cs"/>
            </a:rPr>
            <a:pPr marL="0" indent="0" algn="ctr"/>
            <a:t>1771</a:t>
          </a:fld>
          <a:endParaRPr lang="en-IN" sz="2800" b="0" i="0" u="none" strike="noStrike">
            <a:solidFill>
              <a:schemeClr val="tx1"/>
            </a:solidFill>
            <a:latin typeface="Cambria" panose="02040503050406030204" pitchFamily="18" charset="0"/>
            <a:ea typeface="Cambria" panose="02040503050406030204" pitchFamily="18" charset="0"/>
            <a:cs typeface="+mn-cs"/>
          </a:endParaRPr>
        </a:p>
      </xdr:txBody>
    </xdr:sp>
    <xdr:clientData/>
  </xdr:twoCellAnchor>
  <xdr:twoCellAnchor>
    <xdr:from>
      <xdr:col>0</xdr:col>
      <xdr:colOff>77258</xdr:colOff>
      <xdr:row>23</xdr:row>
      <xdr:rowOff>0</xdr:rowOff>
    </xdr:from>
    <xdr:to>
      <xdr:col>4</xdr:col>
      <xdr:colOff>143933</xdr:colOff>
      <xdr:row>26</xdr:row>
      <xdr:rowOff>56007</xdr:rowOff>
    </xdr:to>
    <xdr:sp macro="" textlink="Sheet2!C4">
      <xdr:nvSpPr>
        <xdr:cNvPr id="10" name="Arrow: Pentagon 9">
          <a:extLst>
            <a:ext uri="{FF2B5EF4-FFF2-40B4-BE49-F238E27FC236}">
              <a16:creationId xmlns:a16="http://schemas.microsoft.com/office/drawing/2014/main" id="{89A74921-C7BE-DAFC-13D3-242DFDA54A12}"/>
            </a:ext>
          </a:extLst>
        </xdr:cNvPr>
        <xdr:cNvSpPr/>
      </xdr:nvSpPr>
      <xdr:spPr>
        <a:xfrm>
          <a:off x="77258" y="4381500"/>
          <a:ext cx="2522008" cy="627507"/>
        </a:xfrm>
        <a:prstGeom prst="homePlate">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36F2575-BBA4-4267-8780-3DF6C6BFD579}" type="TxLink">
            <a:rPr lang="en-US" sz="2800" b="0" i="0" u="none" strike="noStrike">
              <a:solidFill>
                <a:schemeClr val="tx1"/>
              </a:solidFill>
              <a:latin typeface="Cambria" panose="02040503050406030204" pitchFamily="18" charset="0"/>
              <a:ea typeface="Cambria" panose="02040503050406030204" pitchFamily="18" charset="0"/>
              <a:cs typeface="+mn-cs"/>
            </a:rPr>
            <a:pPr marL="0" indent="0" algn="ctr"/>
            <a:t>541</a:t>
          </a:fld>
          <a:endParaRPr lang="en-IN" sz="2800" b="0" i="0" u="none" strike="noStrike">
            <a:solidFill>
              <a:schemeClr val="tx1"/>
            </a:solidFill>
            <a:latin typeface="Cambria" panose="02040503050406030204" pitchFamily="18" charset="0"/>
            <a:ea typeface="Cambria" panose="02040503050406030204" pitchFamily="18" charset="0"/>
            <a:cs typeface="+mn-cs"/>
          </a:endParaRPr>
        </a:p>
      </xdr:txBody>
    </xdr:sp>
    <xdr:clientData/>
  </xdr:twoCellAnchor>
  <xdr:twoCellAnchor>
    <xdr:from>
      <xdr:col>0</xdr:col>
      <xdr:colOff>74084</xdr:colOff>
      <xdr:row>18</xdr:row>
      <xdr:rowOff>56092</xdr:rowOff>
    </xdr:from>
    <xdr:to>
      <xdr:col>4</xdr:col>
      <xdr:colOff>140759</xdr:colOff>
      <xdr:row>21</xdr:row>
      <xdr:rowOff>112099</xdr:rowOff>
    </xdr:to>
    <xdr:sp macro="" textlink="Sheet2!C3">
      <xdr:nvSpPr>
        <xdr:cNvPr id="11" name="Arrow: Pentagon 10">
          <a:extLst>
            <a:ext uri="{FF2B5EF4-FFF2-40B4-BE49-F238E27FC236}">
              <a16:creationId xmlns:a16="http://schemas.microsoft.com/office/drawing/2014/main" id="{A1B78537-6A28-B83C-D598-A4377DC4D34E}"/>
            </a:ext>
          </a:extLst>
        </xdr:cNvPr>
        <xdr:cNvSpPr/>
      </xdr:nvSpPr>
      <xdr:spPr>
        <a:xfrm>
          <a:off x="74084" y="3485092"/>
          <a:ext cx="2522008" cy="627507"/>
        </a:xfrm>
        <a:prstGeom prst="homePlate">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8FADCA7-B60C-471E-97D5-F27120A8FFBF}" type="TxLink">
            <a:rPr lang="en-US" sz="2800" b="0" i="0" u="none" strike="noStrike">
              <a:solidFill>
                <a:schemeClr val="tx1"/>
              </a:solidFill>
              <a:latin typeface="Cambria" panose="02040503050406030204" pitchFamily="18" charset="0"/>
              <a:ea typeface="Cambria" panose="02040503050406030204" pitchFamily="18" charset="0"/>
              <a:cs typeface="+mn-cs"/>
            </a:rPr>
            <a:pPr marL="0" indent="0" algn="ctr"/>
            <a:t>Avg month</a:t>
          </a:fld>
          <a:endParaRPr lang="en-IN" sz="2800" b="0" i="0" u="none" strike="noStrike">
            <a:solidFill>
              <a:schemeClr val="tx1"/>
            </a:solidFill>
            <a:latin typeface="Cambria" panose="02040503050406030204" pitchFamily="18" charset="0"/>
            <a:ea typeface="Cambria" panose="02040503050406030204" pitchFamily="18" charset="0"/>
            <a:cs typeface="+mn-cs"/>
          </a:endParaRPr>
        </a:p>
      </xdr:txBody>
    </xdr:sp>
    <xdr:clientData/>
  </xdr:twoCellAnchor>
  <xdr:twoCellAnchor>
    <xdr:from>
      <xdr:col>4</xdr:col>
      <xdr:colOff>242357</xdr:colOff>
      <xdr:row>0</xdr:row>
      <xdr:rowOff>21168</xdr:rowOff>
    </xdr:from>
    <xdr:to>
      <xdr:col>10</xdr:col>
      <xdr:colOff>251883</xdr:colOff>
      <xdr:row>13</xdr:row>
      <xdr:rowOff>21167</xdr:rowOff>
    </xdr:to>
    <xdr:graphicFrame macro="">
      <xdr:nvGraphicFramePr>
        <xdr:cNvPr id="12" name="Chart 11">
          <a:extLst>
            <a:ext uri="{FF2B5EF4-FFF2-40B4-BE49-F238E27FC236}">
              <a16:creationId xmlns:a16="http://schemas.microsoft.com/office/drawing/2014/main" id="{6A1F6D62-F557-42FE-BE50-6FBF247D10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334433</xdr:colOff>
      <xdr:row>0</xdr:row>
      <xdr:rowOff>42333</xdr:rowOff>
    </xdr:from>
    <xdr:to>
      <xdr:col>16</xdr:col>
      <xdr:colOff>529167</xdr:colOff>
      <xdr:row>13</xdr:row>
      <xdr:rowOff>4233</xdr:rowOff>
    </xdr:to>
    <xdr:graphicFrame macro="">
      <xdr:nvGraphicFramePr>
        <xdr:cNvPr id="13" name="Chart 12">
          <a:extLst>
            <a:ext uri="{FF2B5EF4-FFF2-40B4-BE49-F238E27FC236}">
              <a16:creationId xmlns:a16="http://schemas.microsoft.com/office/drawing/2014/main" id="{6714B21C-E0A4-4D4C-88A1-30161AF571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609599</xdr:colOff>
      <xdr:row>0</xdr:row>
      <xdr:rowOff>28575</xdr:rowOff>
    </xdr:from>
    <xdr:to>
      <xdr:col>23</xdr:col>
      <xdr:colOff>19050</xdr:colOff>
      <xdr:row>12</xdr:row>
      <xdr:rowOff>180975</xdr:rowOff>
    </xdr:to>
    <xdr:graphicFrame macro="">
      <xdr:nvGraphicFramePr>
        <xdr:cNvPr id="14" name="Chart 13">
          <a:extLst>
            <a:ext uri="{FF2B5EF4-FFF2-40B4-BE49-F238E27FC236}">
              <a16:creationId xmlns:a16="http://schemas.microsoft.com/office/drawing/2014/main" id="{F1228299-3D2E-499C-B793-BF71C28FE6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228598</xdr:colOff>
      <xdr:row>13</xdr:row>
      <xdr:rowOff>93134</xdr:rowOff>
    </xdr:from>
    <xdr:to>
      <xdr:col>10</xdr:col>
      <xdr:colOff>232833</xdr:colOff>
      <xdr:row>26</xdr:row>
      <xdr:rowOff>42333</xdr:rowOff>
    </xdr:to>
    <xdr:graphicFrame macro="">
      <xdr:nvGraphicFramePr>
        <xdr:cNvPr id="15" name="Chart 14">
          <a:extLst>
            <a:ext uri="{FF2B5EF4-FFF2-40B4-BE49-F238E27FC236}">
              <a16:creationId xmlns:a16="http://schemas.microsoft.com/office/drawing/2014/main" id="{FE4BAAFC-297D-4C7F-A832-9AFEFF1AA5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351366</xdr:colOff>
      <xdr:row>13</xdr:row>
      <xdr:rowOff>112183</xdr:rowOff>
    </xdr:from>
    <xdr:to>
      <xdr:col>16</xdr:col>
      <xdr:colOff>518583</xdr:colOff>
      <xdr:row>26</xdr:row>
      <xdr:rowOff>52917</xdr:rowOff>
    </xdr:to>
    <xdr:graphicFrame macro="">
      <xdr:nvGraphicFramePr>
        <xdr:cNvPr id="16" name="Chart 15">
          <a:extLst>
            <a:ext uri="{FF2B5EF4-FFF2-40B4-BE49-F238E27FC236}">
              <a16:creationId xmlns:a16="http://schemas.microsoft.com/office/drawing/2014/main" id="{41B09D1C-9CA7-4F11-9E57-ACAF795DDC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0</xdr:colOff>
      <xdr:row>13</xdr:row>
      <xdr:rowOff>134409</xdr:rowOff>
    </xdr:from>
    <xdr:to>
      <xdr:col>23</xdr:col>
      <xdr:colOff>0</xdr:colOff>
      <xdr:row>26</xdr:row>
      <xdr:rowOff>10583</xdr:rowOff>
    </xdr:to>
    <xdr:graphicFrame macro="">
      <xdr:nvGraphicFramePr>
        <xdr:cNvPr id="17" name="Chart 16">
          <a:extLst>
            <a:ext uri="{FF2B5EF4-FFF2-40B4-BE49-F238E27FC236}">
              <a16:creationId xmlns:a16="http://schemas.microsoft.com/office/drawing/2014/main" id="{5F6F3C43-2F83-4828-8C75-C5035B0EB6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23</xdr:col>
      <xdr:colOff>581023</xdr:colOff>
      <xdr:row>8</xdr:row>
      <xdr:rowOff>95251</xdr:rowOff>
    </xdr:from>
    <xdr:to>
      <xdr:col>26</xdr:col>
      <xdr:colOff>568323</xdr:colOff>
      <xdr:row>17</xdr:row>
      <xdr:rowOff>31750</xdr:rowOff>
    </xdr:to>
    <mc:AlternateContent xmlns:mc="http://schemas.openxmlformats.org/markup-compatibility/2006">
      <mc:Choice xmlns:a14="http://schemas.microsoft.com/office/drawing/2010/main" Requires="a14">
        <xdr:graphicFrame macro="">
          <xdr:nvGraphicFramePr>
            <xdr:cNvPr id="18" name="Product Category 1">
              <a:extLst>
                <a:ext uri="{FF2B5EF4-FFF2-40B4-BE49-F238E27FC236}">
                  <a16:creationId xmlns:a16="http://schemas.microsoft.com/office/drawing/2014/main" id="{E5C0E1A1-58E1-4B70-8111-F9319A37C3BB}"/>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dr:sp macro="" textlink="">
          <xdr:nvSpPr>
            <xdr:cNvPr id="0" name=""/>
            <xdr:cNvSpPr>
              <a:spLocks noTextEdit="1"/>
            </xdr:cNvSpPr>
          </xdr:nvSpPr>
          <xdr:spPr>
            <a:xfrm>
              <a:off x="14547054" y="1619251"/>
              <a:ext cx="1808957" cy="1650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29.582299421294" createdVersion="8" refreshedVersion="8" minRefreshableVersion="3" recordCount="500" xr:uid="{D4CF63DB-4C24-42A7-8EEA-190F73BD8A71}">
  <cacheSource type="worksheet">
    <worksheetSource ref="A1:L501" sheet="Sheet1"/>
  </cacheSource>
  <cacheFields count="12">
    <cacheField name="Date" numFmtId="14">
      <sharedItems containsSemiMixedTypes="0" containsNonDate="0" containsDate="1" containsString="0" minDate="2025-01-01T00:00:00" maxDate="2025-04-01T00:00:00"/>
    </cacheField>
    <cacheField name="Year" numFmtId="0">
      <sharedItems containsSemiMixedTypes="0" containsString="0" containsNumber="1" containsInteger="1" minValue="2025" maxValue="2025"/>
    </cacheField>
    <cacheField name="Month" numFmtId="0">
      <sharedItems count="3">
        <s v="Jan"/>
        <s v="Feb"/>
        <s v="Mar"/>
      </sharedItems>
    </cacheField>
    <cacheField name="Store Location" numFmtId="0">
      <sharedItems count="5">
        <s v="Delhi"/>
        <s v="Mumbai"/>
        <s v="Chennai"/>
        <s v="Hyderabad"/>
        <s v="Bangalore"/>
      </sharedItems>
    </cacheField>
    <cacheField name="Sales Rep" numFmtId="0">
      <sharedItems count="5">
        <s v="Neha"/>
        <s v="Karan"/>
        <s v="Riya"/>
        <s v="Amit"/>
        <s v="Arjun"/>
      </sharedItems>
    </cacheField>
    <cacheField name="Product Category" numFmtId="0">
      <sharedItems count="3">
        <s v="Coffee"/>
        <s v="Bakery"/>
        <s v="Tea"/>
      </sharedItems>
    </cacheField>
    <cacheField name="Product Name" numFmtId="0">
      <sharedItems/>
    </cacheField>
    <cacheField name="Customer Type" numFmtId="0">
      <sharedItems count="2">
        <s v="Walk-in"/>
        <s v="Regular"/>
      </sharedItems>
    </cacheField>
    <cacheField name="Payment Mode" numFmtId="0">
      <sharedItems count="3">
        <s v="Card"/>
        <s v="Cash"/>
        <s v="UPI"/>
      </sharedItems>
    </cacheField>
    <cacheField name="Quantity Sold" numFmtId="0">
      <sharedItems containsSemiMixedTypes="0" containsString="0" containsNumber="1" containsInteger="1" minValue="1" maxValue="6"/>
    </cacheField>
    <cacheField name="Unit Price" numFmtId="0">
      <sharedItems containsSemiMixedTypes="0" containsString="0" containsNumber="1" containsInteger="1" minValue="60" maxValue="250"/>
    </cacheField>
    <cacheField name="Sales Amount" numFmtId="0">
      <sharedItems containsSemiMixedTypes="0" containsString="0" containsNumber="1" containsInteger="1" minValue="61" maxValue="1500"/>
    </cacheField>
  </cacheFields>
  <extLst>
    <ext xmlns:x14="http://schemas.microsoft.com/office/spreadsheetml/2009/9/main" uri="{725AE2AE-9491-48be-B2B4-4EB974FC3084}">
      <x14:pivotCacheDefinition pivotCacheId="18415920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d v="2025-01-01T00:00:00"/>
    <n v="2025"/>
    <x v="0"/>
    <x v="0"/>
    <x v="0"/>
    <x v="0"/>
    <s v="Americano"/>
    <x v="0"/>
    <x v="0"/>
    <n v="4"/>
    <n v="244"/>
    <n v="976"/>
  </r>
  <r>
    <d v="2025-01-02T00:00:00"/>
    <n v="2025"/>
    <x v="0"/>
    <x v="0"/>
    <x v="1"/>
    <x v="1"/>
    <s v="Croissant"/>
    <x v="0"/>
    <x v="0"/>
    <n v="5"/>
    <n v="77"/>
    <n v="385"/>
  </r>
  <r>
    <d v="2025-01-03T00:00:00"/>
    <n v="2025"/>
    <x v="0"/>
    <x v="1"/>
    <x v="2"/>
    <x v="2"/>
    <s v="Masala Tea"/>
    <x v="1"/>
    <x v="0"/>
    <n v="5"/>
    <n v="135"/>
    <n v="675"/>
  </r>
  <r>
    <d v="2025-01-04T00:00:00"/>
    <n v="2025"/>
    <x v="0"/>
    <x v="2"/>
    <x v="3"/>
    <x v="2"/>
    <s v="Green Tea"/>
    <x v="1"/>
    <x v="1"/>
    <n v="1"/>
    <n v="223"/>
    <n v="223"/>
  </r>
  <r>
    <d v="2025-01-05T00:00:00"/>
    <n v="2025"/>
    <x v="0"/>
    <x v="0"/>
    <x v="2"/>
    <x v="0"/>
    <s v="Latte"/>
    <x v="0"/>
    <x v="2"/>
    <n v="4"/>
    <n v="214"/>
    <n v="856"/>
  </r>
  <r>
    <d v="2025-01-06T00:00:00"/>
    <n v="2025"/>
    <x v="0"/>
    <x v="1"/>
    <x v="3"/>
    <x v="0"/>
    <s v="Espresso"/>
    <x v="0"/>
    <x v="0"/>
    <n v="5"/>
    <n v="142"/>
    <n v="710"/>
  </r>
  <r>
    <d v="2025-01-07T00:00:00"/>
    <n v="2025"/>
    <x v="0"/>
    <x v="2"/>
    <x v="0"/>
    <x v="1"/>
    <s v="Croissant"/>
    <x v="1"/>
    <x v="2"/>
    <n v="6"/>
    <n v="66"/>
    <n v="396"/>
  </r>
  <r>
    <d v="2025-01-08T00:00:00"/>
    <n v="2025"/>
    <x v="0"/>
    <x v="3"/>
    <x v="1"/>
    <x v="2"/>
    <s v="Masala Tea"/>
    <x v="1"/>
    <x v="2"/>
    <n v="6"/>
    <n v="223"/>
    <n v="1338"/>
  </r>
  <r>
    <d v="2025-01-09T00:00:00"/>
    <n v="2025"/>
    <x v="0"/>
    <x v="0"/>
    <x v="3"/>
    <x v="2"/>
    <s v="Black Tea"/>
    <x v="0"/>
    <x v="1"/>
    <n v="5"/>
    <n v="211"/>
    <n v="1055"/>
  </r>
  <r>
    <d v="2025-01-10T00:00:00"/>
    <n v="2025"/>
    <x v="0"/>
    <x v="3"/>
    <x v="1"/>
    <x v="0"/>
    <s v="Cappuccino"/>
    <x v="1"/>
    <x v="0"/>
    <n v="6"/>
    <n v="90"/>
    <n v="540"/>
  </r>
  <r>
    <d v="2025-01-11T00:00:00"/>
    <n v="2025"/>
    <x v="0"/>
    <x v="2"/>
    <x v="4"/>
    <x v="0"/>
    <s v="Mocha"/>
    <x v="0"/>
    <x v="0"/>
    <n v="1"/>
    <n v="212"/>
    <n v="212"/>
  </r>
  <r>
    <d v="2025-01-12T00:00:00"/>
    <n v="2025"/>
    <x v="0"/>
    <x v="0"/>
    <x v="3"/>
    <x v="1"/>
    <s v="Brownie"/>
    <x v="1"/>
    <x v="0"/>
    <n v="1"/>
    <n v="245"/>
    <n v="245"/>
  </r>
  <r>
    <d v="2025-01-13T00:00:00"/>
    <n v="2025"/>
    <x v="0"/>
    <x v="4"/>
    <x v="0"/>
    <x v="0"/>
    <s v="Americano"/>
    <x v="1"/>
    <x v="2"/>
    <n v="6"/>
    <n v="250"/>
    <n v="1500"/>
  </r>
  <r>
    <d v="2025-01-14T00:00:00"/>
    <n v="2025"/>
    <x v="0"/>
    <x v="2"/>
    <x v="3"/>
    <x v="1"/>
    <s v="Brownie"/>
    <x v="0"/>
    <x v="0"/>
    <n v="6"/>
    <n v="109"/>
    <n v="654"/>
  </r>
  <r>
    <d v="2025-01-15T00:00:00"/>
    <n v="2025"/>
    <x v="0"/>
    <x v="3"/>
    <x v="4"/>
    <x v="1"/>
    <s v="Muffin"/>
    <x v="1"/>
    <x v="0"/>
    <n v="4"/>
    <n v="186"/>
    <n v="744"/>
  </r>
  <r>
    <d v="2025-01-16T00:00:00"/>
    <n v="2025"/>
    <x v="0"/>
    <x v="4"/>
    <x v="3"/>
    <x v="1"/>
    <s v="Croissant"/>
    <x v="0"/>
    <x v="2"/>
    <n v="1"/>
    <n v="101"/>
    <n v="101"/>
  </r>
  <r>
    <d v="2025-01-17T00:00:00"/>
    <n v="2025"/>
    <x v="0"/>
    <x v="1"/>
    <x v="1"/>
    <x v="2"/>
    <s v="Masala Tea"/>
    <x v="1"/>
    <x v="1"/>
    <n v="5"/>
    <n v="97"/>
    <n v="485"/>
  </r>
  <r>
    <d v="2025-01-18T00:00:00"/>
    <n v="2025"/>
    <x v="0"/>
    <x v="0"/>
    <x v="3"/>
    <x v="2"/>
    <s v="Masala Tea"/>
    <x v="1"/>
    <x v="1"/>
    <n v="5"/>
    <n v="87"/>
    <n v="435"/>
  </r>
  <r>
    <d v="2025-01-19T00:00:00"/>
    <n v="2025"/>
    <x v="0"/>
    <x v="3"/>
    <x v="2"/>
    <x v="1"/>
    <s v="Brownie"/>
    <x v="0"/>
    <x v="0"/>
    <n v="3"/>
    <n v="164"/>
    <n v="492"/>
  </r>
  <r>
    <d v="2025-01-20T00:00:00"/>
    <n v="2025"/>
    <x v="0"/>
    <x v="0"/>
    <x v="2"/>
    <x v="2"/>
    <s v="Green Tea"/>
    <x v="1"/>
    <x v="2"/>
    <n v="5"/>
    <n v="201"/>
    <n v="1005"/>
  </r>
  <r>
    <d v="2025-01-21T00:00:00"/>
    <n v="2025"/>
    <x v="0"/>
    <x v="2"/>
    <x v="1"/>
    <x v="0"/>
    <s v="Mocha"/>
    <x v="1"/>
    <x v="1"/>
    <n v="5"/>
    <n v="128"/>
    <n v="640"/>
  </r>
  <r>
    <d v="2025-01-22T00:00:00"/>
    <n v="2025"/>
    <x v="0"/>
    <x v="3"/>
    <x v="3"/>
    <x v="0"/>
    <s v="Latte"/>
    <x v="1"/>
    <x v="2"/>
    <n v="5"/>
    <n v="223"/>
    <n v="1115"/>
  </r>
  <r>
    <d v="2025-01-23T00:00:00"/>
    <n v="2025"/>
    <x v="0"/>
    <x v="2"/>
    <x v="0"/>
    <x v="2"/>
    <s v="Masala Tea"/>
    <x v="1"/>
    <x v="1"/>
    <n v="3"/>
    <n v="194"/>
    <n v="582"/>
  </r>
  <r>
    <d v="2025-01-24T00:00:00"/>
    <n v="2025"/>
    <x v="0"/>
    <x v="3"/>
    <x v="3"/>
    <x v="0"/>
    <s v="Americano"/>
    <x v="0"/>
    <x v="1"/>
    <n v="2"/>
    <n v="197"/>
    <n v="394"/>
  </r>
  <r>
    <d v="2025-01-25T00:00:00"/>
    <n v="2025"/>
    <x v="0"/>
    <x v="0"/>
    <x v="3"/>
    <x v="1"/>
    <s v="Brownie"/>
    <x v="1"/>
    <x v="2"/>
    <n v="3"/>
    <n v="180"/>
    <n v="540"/>
  </r>
  <r>
    <d v="2025-01-26T00:00:00"/>
    <n v="2025"/>
    <x v="0"/>
    <x v="0"/>
    <x v="3"/>
    <x v="1"/>
    <s v="Muffin"/>
    <x v="1"/>
    <x v="1"/>
    <n v="6"/>
    <n v="97"/>
    <n v="582"/>
  </r>
  <r>
    <d v="2025-01-27T00:00:00"/>
    <n v="2025"/>
    <x v="0"/>
    <x v="1"/>
    <x v="0"/>
    <x v="1"/>
    <s v="Brownie"/>
    <x v="1"/>
    <x v="2"/>
    <n v="3"/>
    <n v="153"/>
    <n v="459"/>
  </r>
  <r>
    <d v="2025-01-28T00:00:00"/>
    <n v="2025"/>
    <x v="0"/>
    <x v="2"/>
    <x v="0"/>
    <x v="2"/>
    <s v="Green Tea"/>
    <x v="0"/>
    <x v="1"/>
    <n v="4"/>
    <n v="85"/>
    <n v="340"/>
  </r>
  <r>
    <d v="2025-01-29T00:00:00"/>
    <n v="2025"/>
    <x v="0"/>
    <x v="0"/>
    <x v="1"/>
    <x v="2"/>
    <s v="Green Tea"/>
    <x v="0"/>
    <x v="1"/>
    <n v="3"/>
    <n v="249"/>
    <n v="747"/>
  </r>
  <r>
    <d v="2025-01-30T00:00:00"/>
    <n v="2025"/>
    <x v="0"/>
    <x v="3"/>
    <x v="4"/>
    <x v="2"/>
    <s v="Masala Tea"/>
    <x v="0"/>
    <x v="2"/>
    <n v="6"/>
    <n v="173"/>
    <n v="1038"/>
  </r>
  <r>
    <d v="2025-01-31T00:00:00"/>
    <n v="2025"/>
    <x v="0"/>
    <x v="0"/>
    <x v="1"/>
    <x v="2"/>
    <s v="Black Tea"/>
    <x v="1"/>
    <x v="2"/>
    <n v="1"/>
    <n v="186"/>
    <n v="186"/>
  </r>
  <r>
    <d v="2025-02-01T00:00:00"/>
    <n v="2025"/>
    <x v="1"/>
    <x v="1"/>
    <x v="2"/>
    <x v="1"/>
    <s v="Muffin"/>
    <x v="1"/>
    <x v="2"/>
    <n v="5"/>
    <n v="96"/>
    <n v="480"/>
  </r>
  <r>
    <d v="2025-02-02T00:00:00"/>
    <n v="2025"/>
    <x v="1"/>
    <x v="4"/>
    <x v="3"/>
    <x v="0"/>
    <s v="Espresso"/>
    <x v="0"/>
    <x v="1"/>
    <n v="2"/>
    <n v="189"/>
    <n v="378"/>
  </r>
  <r>
    <d v="2025-02-03T00:00:00"/>
    <n v="2025"/>
    <x v="1"/>
    <x v="3"/>
    <x v="2"/>
    <x v="0"/>
    <s v="Espresso"/>
    <x v="0"/>
    <x v="1"/>
    <n v="6"/>
    <n v="247"/>
    <n v="1482"/>
  </r>
  <r>
    <d v="2025-02-04T00:00:00"/>
    <n v="2025"/>
    <x v="1"/>
    <x v="4"/>
    <x v="0"/>
    <x v="2"/>
    <s v="Masala Tea"/>
    <x v="1"/>
    <x v="0"/>
    <n v="1"/>
    <n v="157"/>
    <n v="157"/>
  </r>
  <r>
    <d v="2025-02-05T00:00:00"/>
    <n v="2025"/>
    <x v="1"/>
    <x v="2"/>
    <x v="4"/>
    <x v="0"/>
    <s v="Latte"/>
    <x v="1"/>
    <x v="2"/>
    <n v="6"/>
    <n v="152"/>
    <n v="912"/>
  </r>
  <r>
    <d v="2025-02-06T00:00:00"/>
    <n v="2025"/>
    <x v="1"/>
    <x v="0"/>
    <x v="2"/>
    <x v="1"/>
    <s v="Muffin"/>
    <x v="0"/>
    <x v="0"/>
    <n v="1"/>
    <n v="176"/>
    <n v="176"/>
  </r>
  <r>
    <d v="2025-02-07T00:00:00"/>
    <n v="2025"/>
    <x v="1"/>
    <x v="0"/>
    <x v="1"/>
    <x v="2"/>
    <s v="Green Tea"/>
    <x v="0"/>
    <x v="1"/>
    <n v="4"/>
    <n v="227"/>
    <n v="908"/>
  </r>
  <r>
    <d v="2025-02-08T00:00:00"/>
    <n v="2025"/>
    <x v="1"/>
    <x v="0"/>
    <x v="1"/>
    <x v="1"/>
    <s v="Brownie"/>
    <x v="0"/>
    <x v="1"/>
    <n v="6"/>
    <n v="226"/>
    <n v="1356"/>
  </r>
  <r>
    <d v="2025-02-09T00:00:00"/>
    <n v="2025"/>
    <x v="1"/>
    <x v="0"/>
    <x v="2"/>
    <x v="2"/>
    <s v="Masala Tea"/>
    <x v="1"/>
    <x v="0"/>
    <n v="3"/>
    <n v="204"/>
    <n v="612"/>
  </r>
  <r>
    <d v="2025-02-10T00:00:00"/>
    <n v="2025"/>
    <x v="1"/>
    <x v="3"/>
    <x v="0"/>
    <x v="0"/>
    <s v="Mocha"/>
    <x v="1"/>
    <x v="0"/>
    <n v="5"/>
    <n v="227"/>
    <n v="1135"/>
  </r>
  <r>
    <d v="2025-02-11T00:00:00"/>
    <n v="2025"/>
    <x v="1"/>
    <x v="0"/>
    <x v="2"/>
    <x v="0"/>
    <s v="Cappuccino"/>
    <x v="1"/>
    <x v="2"/>
    <n v="6"/>
    <n v="87"/>
    <n v="522"/>
  </r>
  <r>
    <d v="2025-02-12T00:00:00"/>
    <n v="2025"/>
    <x v="1"/>
    <x v="4"/>
    <x v="0"/>
    <x v="1"/>
    <s v="Brownie"/>
    <x v="1"/>
    <x v="2"/>
    <n v="3"/>
    <n v="169"/>
    <n v="507"/>
  </r>
  <r>
    <d v="2025-02-13T00:00:00"/>
    <n v="2025"/>
    <x v="1"/>
    <x v="4"/>
    <x v="1"/>
    <x v="1"/>
    <s v="Muffin"/>
    <x v="0"/>
    <x v="1"/>
    <n v="2"/>
    <n v="91"/>
    <n v="182"/>
  </r>
  <r>
    <d v="2025-02-14T00:00:00"/>
    <n v="2025"/>
    <x v="1"/>
    <x v="3"/>
    <x v="0"/>
    <x v="1"/>
    <s v="Brownie"/>
    <x v="1"/>
    <x v="1"/>
    <n v="6"/>
    <n v="219"/>
    <n v="1314"/>
  </r>
  <r>
    <d v="2025-02-15T00:00:00"/>
    <n v="2025"/>
    <x v="1"/>
    <x v="3"/>
    <x v="2"/>
    <x v="1"/>
    <s v="Brownie"/>
    <x v="0"/>
    <x v="2"/>
    <n v="1"/>
    <n v="169"/>
    <n v="169"/>
  </r>
  <r>
    <d v="2025-02-16T00:00:00"/>
    <n v="2025"/>
    <x v="1"/>
    <x v="2"/>
    <x v="0"/>
    <x v="0"/>
    <s v="Latte"/>
    <x v="0"/>
    <x v="1"/>
    <n v="4"/>
    <n v="177"/>
    <n v="708"/>
  </r>
  <r>
    <d v="2025-02-17T00:00:00"/>
    <n v="2025"/>
    <x v="1"/>
    <x v="0"/>
    <x v="0"/>
    <x v="1"/>
    <s v="Muffin"/>
    <x v="0"/>
    <x v="2"/>
    <n v="3"/>
    <n v="177"/>
    <n v="531"/>
  </r>
  <r>
    <d v="2025-02-18T00:00:00"/>
    <n v="2025"/>
    <x v="1"/>
    <x v="4"/>
    <x v="4"/>
    <x v="0"/>
    <s v="Americano"/>
    <x v="0"/>
    <x v="2"/>
    <n v="1"/>
    <n v="187"/>
    <n v="187"/>
  </r>
  <r>
    <d v="2025-02-19T00:00:00"/>
    <n v="2025"/>
    <x v="1"/>
    <x v="0"/>
    <x v="0"/>
    <x v="2"/>
    <s v="Masala Tea"/>
    <x v="1"/>
    <x v="0"/>
    <n v="1"/>
    <n v="151"/>
    <n v="151"/>
  </r>
  <r>
    <d v="2025-02-20T00:00:00"/>
    <n v="2025"/>
    <x v="1"/>
    <x v="0"/>
    <x v="3"/>
    <x v="1"/>
    <s v="Muffin"/>
    <x v="0"/>
    <x v="1"/>
    <n v="6"/>
    <n v="124"/>
    <n v="744"/>
  </r>
  <r>
    <d v="2025-02-21T00:00:00"/>
    <n v="2025"/>
    <x v="1"/>
    <x v="4"/>
    <x v="2"/>
    <x v="2"/>
    <s v="Black Tea"/>
    <x v="0"/>
    <x v="0"/>
    <n v="1"/>
    <n v="227"/>
    <n v="227"/>
  </r>
  <r>
    <d v="2025-02-22T00:00:00"/>
    <n v="2025"/>
    <x v="1"/>
    <x v="2"/>
    <x v="0"/>
    <x v="0"/>
    <s v="Mocha"/>
    <x v="1"/>
    <x v="2"/>
    <n v="6"/>
    <n v="240"/>
    <n v="1440"/>
  </r>
  <r>
    <d v="2025-02-23T00:00:00"/>
    <n v="2025"/>
    <x v="1"/>
    <x v="3"/>
    <x v="3"/>
    <x v="2"/>
    <s v="Masala Tea"/>
    <x v="1"/>
    <x v="2"/>
    <n v="3"/>
    <n v="74"/>
    <n v="222"/>
  </r>
  <r>
    <d v="2025-02-24T00:00:00"/>
    <n v="2025"/>
    <x v="1"/>
    <x v="3"/>
    <x v="1"/>
    <x v="1"/>
    <s v="Croissant"/>
    <x v="0"/>
    <x v="2"/>
    <n v="3"/>
    <n v="143"/>
    <n v="429"/>
  </r>
  <r>
    <d v="2025-02-25T00:00:00"/>
    <n v="2025"/>
    <x v="1"/>
    <x v="1"/>
    <x v="1"/>
    <x v="0"/>
    <s v="Espresso"/>
    <x v="0"/>
    <x v="2"/>
    <n v="5"/>
    <n v="176"/>
    <n v="880"/>
  </r>
  <r>
    <d v="2025-02-26T00:00:00"/>
    <n v="2025"/>
    <x v="1"/>
    <x v="2"/>
    <x v="1"/>
    <x v="1"/>
    <s v="Croissant"/>
    <x v="0"/>
    <x v="1"/>
    <n v="1"/>
    <n v="209"/>
    <n v="209"/>
  </r>
  <r>
    <d v="2025-02-27T00:00:00"/>
    <n v="2025"/>
    <x v="1"/>
    <x v="2"/>
    <x v="0"/>
    <x v="0"/>
    <s v="Latte"/>
    <x v="1"/>
    <x v="0"/>
    <n v="3"/>
    <n v="71"/>
    <n v="213"/>
  </r>
  <r>
    <d v="2025-02-28T00:00:00"/>
    <n v="2025"/>
    <x v="1"/>
    <x v="2"/>
    <x v="4"/>
    <x v="0"/>
    <s v="Americano"/>
    <x v="1"/>
    <x v="2"/>
    <n v="6"/>
    <n v="221"/>
    <n v="1326"/>
  </r>
  <r>
    <d v="2025-03-01T00:00:00"/>
    <n v="2025"/>
    <x v="2"/>
    <x v="2"/>
    <x v="3"/>
    <x v="0"/>
    <s v="Americano"/>
    <x v="0"/>
    <x v="1"/>
    <n v="5"/>
    <n v="80"/>
    <n v="400"/>
  </r>
  <r>
    <d v="2025-03-02T00:00:00"/>
    <n v="2025"/>
    <x v="2"/>
    <x v="1"/>
    <x v="3"/>
    <x v="0"/>
    <s v="Latte"/>
    <x v="0"/>
    <x v="2"/>
    <n v="2"/>
    <n v="88"/>
    <n v="176"/>
  </r>
  <r>
    <d v="2025-03-03T00:00:00"/>
    <n v="2025"/>
    <x v="2"/>
    <x v="0"/>
    <x v="1"/>
    <x v="1"/>
    <s v="Brownie"/>
    <x v="0"/>
    <x v="2"/>
    <n v="4"/>
    <n v="93"/>
    <n v="372"/>
  </r>
  <r>
    <d v="2025-03-04T00:00:00"/>
    <n v="2025"/>
    <x v="2"/>
    <x v="2"/>
    <x v="4"/>
    <x v="2"/>
    <s v="Black Tea"/>
    <x v="0"/>
    <x v="2"/>
    <n v="4"/>
    <n v="78"/>
    <n v="312"/>
  </r>
  <r>
    <d v="2025-03-05T00:00:00"/>
    <n v="2025"/>
    <x v="2"/>
    <x v="0"/>
    <x v="3"/>
    <x v="2"/>
    <s v="Green Tea"/>
    <x v="1"/>
    <x v="1"/>
    <n v="1"/>
    <n v="88"/>
    <n v="88"/>
  </r>
  <r>
    <d v="2025-03-06T00:00:00"/>
    <n v="2025"/>
    <x v="2"/>
    <x v="4"/>
    <x v="0"/>
    <x v="0"/>
    <s v="Latte"/>
    <x v="0"/>
    <x v="1"/>
    <n v="1"/>
    <n v="124"/>
    <n v="124"/>
  </r>
  <r>
    <d v="2025-03-07T00:00:00"/>
    <n v="2025"/>
    <x v="2"/>
    <x v="1"/>
    <x v="0"/>
    <x v="1"/>
    <s v="Muffin"/>
    <x v="1"/>
    <x v="1"/>
    <n v="6"/>
    <n v="114"/>
    <n v="684"/>
  </r>
  <r>
    <d v="2025-03-08T00:00:00"/>
    <n v="2025"/>
    <x v="2"/>
    <x v="2"/>
    <x v="2"/>
    <x v="2"/>
    <s v="Masala Tea"/>
    <x v="1"/>
    <x v="1"/>
    <n v="3"/>
    <n v="196"/>
    <n v="588"/>
  </r>
  <r>
    <d v="2025-03-09T00:00:00"/>
    <n v="2025"/>
    <x v="2"/>
    <x v="4"/>
    <x v="1"/>
    <x v="0"/>
    <s v="Espresso"/>
    <x v="1"/>
    <x v="0"/>
    <n v="4"/>
    <n v="155"/>
    <n v="620"/>
  </r>
  <r>
    <d v="2025-03-10T00:00:00"/>
    <n v="2025"/>
    <x v="2"/>
    <x v="0"/>
    <x v="1"/>
    <x v="1"/>
    <s v="Croissant"/>
    <x v="1"/>
    <x v="2"/>
    <n v="3"/>
    <n v="84"/>
    <n v="252"/>
  </r>
  <r>
    <d v="2025-03-11T00:00:00"/>
    <n v="2025"/>
    <x v="2"/>
    <x v="0"/>
    <x v="2"/>
    <x v="0"/>
    <s v="Americano"/>
    <x v="1"/>
    <x v="0"/>
    <n v="2"/>
    <n v="134"/>
    <n v="268"/>
  </r>
  <r>
    <d v="2025-03-12T00:00:00"/>
    <n v="2025"/>
    <x v="2"/>
    <x v="4"/>
    <x v="0"/>
    <x v="1"/>
    <s v="Croissant"/>
    <x v="1"/>
    <x v="2"/>
    <n v="1"/>
    <n v="234"/>
    <n v="234"/>
  </r>
  <r>
    <d v="2025-03-13T00:00:00"/>
    <n v="2025"/>
    <x v="2"/>
    <x v="4"/>
    <x v="3"/>
    <x v="1"/>
    <s v="Brownie"/>
    <x v="0"/>
    <x v="2"/>
    <n v="3"/>
    <n v="184"/>
    <n v="552"/>
  </r>
  <r>
    <d v="2025-03-14T00:00:00"/>
    <n v="2025"/>
    <x v="2"/>
    <x v="4"/>
    <x v="4"/>
    <x v="2"/>
    <s v="Black Tea"/>
    <x v="1"/>
    <x v="2"/>
    <n v="1"/>
    <n v="175"/>
    <n v="175"/>
  </r>
  <r>
    <d v="2025-03-15T00:00:00"/>
    <n v="2025"/>
    <x v="2"/>
    <x v="0"/>
    <x v="4"/>
    <x v="2"/>
    <s v="Masala Tea"/>
    <x v="0"/>
    <x v="0"/>
    <n v="3"/>
    <n v="234"/>
    <n v="702"/>
  </r>
  <r>
    <d v="2025-03-16T00:00:00"/>
    <n v="2025"/>
    <x v="2"/>
    <x v="4"/>
    <x v="0"/>
    <x v="1"/>
    <s v="Brownie"/>
    <x v="0"/>
    <x v="2"/>
    <n v="2"/>
    <n v="177"/>
    <n v="354"/>
  </r>
  <r>
    <d v="2025-03-17T00:00:00"/>
    <n v="2025"/>
    <x v="2"/>
    <x v="1"/>
    <x v="4"/>
    <x v="2"/>
    <s v="Green Tea"/>
    <x v="1"/>
    <x v="0"/>
    <n v="2"/>
    <n v="165"/>
    <n v="330"/>
  </r>
  <r>
    <d v="2025-03-18T00:00:00"/>
    <n v="2025"/>
    <x v="2"/>
    <x v="4"/>
    <x v="0"/>
    <x v="1"/>
    <s v="Brownie"/>
    <x v="0"/>
    <x v="0"/>
    <n v="4"/>
    <n v="126"/>
    <n v="504"/>
  </r>
  <r>
    <d v="2025-03-19T00:00:00"/>
    <n v="2025"/>
    <x v="2"/>
    <x v="3"/>
    <x v="0"/>
    <x v="1"/>
    <s v="Brownie"/>
    <x v="1"/>
    <x v="2"/>
    <n v="6"/>
    <n v="189"/>
    <n v="1134"/>
  </r>
  <r>
    <d v="2025-03-20T00:00:00"/>
    <n v="2025"/>
    <x v="2"/>
    <x v="3"/>
    <x v="2"/>
    <x v="2"/>
    <s v="Black Tea"/>
    <x v="1"/>
    <x v="1"/>
    <n v="6"/>
    <n v="202"/>
    <n v="1212"/>
  </r>
  <r>
    <d v="2025-03-21T00:00:00"/>
    <n v="2025"/>
    <x v="2"/>
    <x v="0"/>
    <x v="4"/>
    <x v="2"/>
    <s v="Green Tea"/>
    <x v="1"/>
    <x v="0"/>
    <n v="6"/>
    <n v="227"/>
    <n v="1362"/>
  </r>
  <r>
    <d v="2025-03-22T00:00:00"/>
    <n v="2025"/>
    <x v="2"/>
    <x v="3"/>
    <x v="1"/>
    <x v="0"/>
    <s v="Latte"/>
    <x v="1"/>
    <x v="1"/>
    <n v="1"/>
    <n v="173"/>
    <n v="173"/>
  </r>
  <r>
    <d v="2025-03-23T00:00:00"/>
    <n v="2025"/>
    <x v="2"/>
    <x v="3"/>
    <x v="4"/>
    <x v="2"/>
    <s v="Masala Tea"/>
    <x v="1"/>
    <x v="2"/>
    <n v="2"/>
    <n v="146"/>
    <n v="292"/>
  </r>
  <r>
    <d v="2025-03-24T00:00:00"/>
    <n v="2025"/>
    <x v="2"/>
    <x v="3"/>
    <x v="2"/>
    <x v="2"/>
    <s v="Black Tea"/>
    <x v="0"/>
    <x v="0"/>
    <n v="2"/>
    <n v="165"/>
    <n v="330"/>
  </r>
  <r>
    <d v="2025-03-25T00:00:00"/>
    <n v="2025"/>
    <x v="2"/>
    <x v="4"/>
    <x v="4"/>
    <x v="2"/>
    <s v="Black Tea"/>
    <x v="1"/>
    <x v="2"/>
    <n v="2"/>
    <n v="246"/>
    <n v="492"/>
  </r>
  <r>
    <d v="2025-03-26T00:00:00"/>
    <n v="2025"/>
    <x v="2"/>
    <x v="2"/>
    <x v="2"/>
    <x v="0"/>
    <s v="Espresso"/>
    <x v="0"/>
    <x v="1"/>
    <n v="4"/>
    <n v="213"/>
    <n v="852"/>
  </r>
  <r>
    <d v="2025-03-27T00:00:00"/>
    <n v="2025"/>
    <x v="2"/>
    <x v="4"/>
    <x v="3"/>
    <x v="2"/>
    <s v="Masala Tea"/>
    <x v="0"/>
    <x v="2"/>
    <n v="1"/>
    <n v="183"/>
    <n v="183"/>
  </r>
  <r>
    <d v="2025-03-28T00:00:00"/>
    <n v="2025"/>
    <x v="2"/>
    <x v="4"/>
    <x v="4"/>
    <x v="0"/>
    <s v="Espresso"/>
    <x v="1"/>
    <x v="2"/>
    <n v="3"/>
    <n v="221"/>
    <n v="663"/>
  </r>
  <r>
    <d v="2025-03-29T00:00:00"/>
    <n v="2025"/>
    <x v="2"/>
    <x v="3"/>
    <x v="1"/>
    <x v="0"/>
    <s v="Espresso"/>
    <x v="1"/>
    <x v="2"/>
    <n v="1"/>
    <n v="224"/>
    <n v="224"/>
  </r>
  <r>
    <d v="2025-03-30T00:00:00"/>
    <n v="2025"/>
    <x v="2"/>
    <x v="3"/>
    <x v="4"/>
    <x v="1"/>
    <s v="Croissant"/>
    <x v="0"/>
    <x v="0"/>
    <n v="4"/>
    <n v="198"/>
    <n v="792"/>
  </r>
  <r>
    <d v="2025-03-31T00:00:00"/>
    <n v="2025"/>
    <x v="2"/>
    <x v="0"/>
    <x v="4"/>
    <x v="0"/>
    <s v="Latte"/>
    <x v="0"/>
    <x v="2"/>
    <n v="6"/>
    <n v="170"/>
    <n v="1020"/>
  </r>
  <r>
    <d v="2025-01-01T00:00:00"/>
    <n v="2025"/>
    <x v="0"/>
    <x v="0"/>
    <x v="0"/>
    <x v="2"/>
    <s v="Masala Tea"/>
    <x v="1"/>
    <x v="2"/>
    <n v="4"/>
    <n v="106"/>
    <n v="424"/>
  </r>
  <r>
    <d v="2025-01-02T00:00:00"/>
    <n v="2025"/>
    <x v="0"/>
    <x v="4"/>
    <x v="1"/>
    <x v="0"/>
    <s v="Americano"/>
    <x v="0"/>
    <x v="2"/>
    <n v="2"/>
    <n v="84"/>
    <n v="168"/>
  </r>
  <r>
    <d v="2025-01-03T00:00:00"/>
    <n v="2025"/>
    <x v="0"/>
    <x v="2"/>
    <x v="4"/>
    <x v="2"/>
    <s v="Black Tea"/>
    <x v="1"/>
    <x v="0"/>
    <n v="3"/>
    <n v="226"/>
    <n v="678"/>
  </r>
  <r>
    <d v="2025-01-04T00:00:00"/>
    <n v="2025"/>
    <x v="0"/>
    <x v="3"/>
    <x v="3"/>
    <x v="2"/>
    <s v="Masala Tea"/>
    <x v="0"/>
    <x v="1"/>
    <n v="1"/>
    <n v="237"/>
    <n v="237"/>
  </r>
  <r>
    <d v="2025-01-05T00:00:00"/>
    <n v="2025"/>
    <x v="0"/>
    <x v="1"/>
    <x v="4"/>
    <x v="1"/>
    <s v="Brownie"/>
    <x v="0"/>
    <x v="2"/>
    <n v="2"/>
    <n v="128"/>
    <n v="256"/>
  </r>
  <r>
    <d v="2025-01-06T00:00:00"/>
    <n v="2025"/>
    <x v="0"/>
    <x v="4"/>
    <x v="4"/>
    <x v="1"/>
    <s v="Muffin"/>
    <x v="1"/>
    <x v="1"/>
    <n v="3"/>
    <n v="200"/>
    <n v="600"/>
  </r>
  <r>
    <d v="2025-01-07T00:00:00"/>
    <n v="2025"/>
    <x v="0"/>
    <x v="4"/>
    <x v="3"/>
    <x v="2"/>
    <s v="Masala Tea"/>
    <x v="1"/>
    <x v="0"/>
    <n v="2"/>
    <n v="114"/>
    <n v="228"/>
  </r>
  <r>
    <d v="2025-01-08T00:00:00"/>
    <n v="2025"/>
    <x v="0"/>
    <x v="1"/>
    <x v="2"/>
    <x v="0"/>
    <s v="Americano"/>
    <x v="0"/>
    <x v="0"/>
    <n v="1"/>
    <n v="98"/>
    <n v="98"/>
  </r>
  <r>
    <d v="2025-01-09T00:00:00"/>
    <n v="2025"/>
    <x v="0"/>
    <x v="4"/>
    <x v="4"/>
    <x v="1"/>
    <s v="Croissant"/>
    <x v="1"/>
    <x v="0"/>
    <n v="6"/>
    <n v="121"/>
    <n v="726"/>
  </r>
  <r>
    <d v="2025-01-10T00:00:00"/>
    <n v="2025"/>
    <x v="0"/>
    <x v="0"/>
    <x v="0"/>
    <x v="2"/>
    <s v="Black Tea"/>
    <x v="0"/>
    <x v="0"/>
    <n v="1"/>
    <n v="185"/>
    <n v="185"/>
  </r>
  <r>
    <d v="2025-01-11T00:00:00"/>
    <n v="2025"/>
    <x v="0"/>
    <x v="0"/>
    <x v="4"/>
    <x v="0"/>
    <s v="Cappuccino"/>
    <x v="1"/>
    <x v="2"/>
    <n v="6"/>
    <n v="223"/>
    <n v="1338"/>
  </r>
  <r>
    <d v="2025-01-12T00:00:00"/>
    <n v="2025"/>
    <x v="0"/>
    <x v="2"/>
    <x v="0"/>
    <x v="0"/>
    <s v="Espresso"/>
    <x v="1"/>
    <x v="2"/>
    <n v="5"/>
    <n v="192"/>
    <n v="960"/>
  </r>
  <r>
    <d v="2025-01-13T00:00:00"/>
    <n v="2025"/>
    <x v="0"/>
    <x v="1"/>
    <x v="3"/>
    <x v="2"/>
    <s v="Black Tea"/>
    <x v="0"/>
    <x v="2"/>
    <n v="5"/>
    <n v="71"/>
    <n v="355"/>
  </r>
  <r>
    <d v="2025-01-14T00:00:00"/>
    <n v="2025"/>
    <x v="0"/>
    <x v="0"/>
    <x v="4"/>
    <x v="2"/>
    <s v="Green Tea"/>
    <x v="0"/>
    <x v="1"/>
    <n v="5"/>
    <n v="184"/>
    <n v="920"/>
  </r>
  <r>
    <d v="2025-01-15T00:00:00"/>
    <n v="2025"/>
    <x v="0"/>
    <x v="2"/>
    <x v="1"/>
    <x v="0"/>
    <s v="Mocha"/>
    <x v="0"/>
    <x v="1"/>
    <n v="4"/>
    <n v="107"/>
    <n v="428"/>
  </r>
  <r>
    <d v="2025-01-16T00:00:00"/>
    <n v="2025"/>
    <x v="0"/>
    <x v="2"/>
    <x v="4"/>
    <x v="0"/>
    <s v="Latte"/>
    <x v="1"/>
    <x v="1"/>
    <n v="4"/>
    <n v="200"/>
    <n v="800"/>
  </r>
  <r>
    <d v="2025-01-17T00:00:00"/>
    <n v="2025"/>
    <x v="0"/>
    <x v="2"/>
    <x v="2"/>
    <x v="0"/>
    <s v="Espresso"/>
    <x v="0"/>
    <x v="1"/>
    <n v="5"/>
    <n v="121"/>
    <n v="605"/>
  </r>
  <r>
    <d v="2025-01-18T00:00:00"/>
    <n v="2025"/>
    <x v="0"/>
    <x v="3"/>
    <x v="2"/>
    <x v="2"/>
    <s v="Masala Tea"/>
    <x v="1"/>
    <x v="1"/>
    <n v="2"/>
    <n v="158"/>
    <n v="316"/>
  </r>
  <r>
    <d v="2025-01-19T00:00:00"/>
    <n v="2025"/>
    <x v="0"/>
    <x v="4"/>
    <x v="1"/>
    <x v="2"/>
    <s v="Green Tea"/>
    <x v="0"/>
    <x v="1"/>
    <n v="1"/>
    <n v="103"/>
    <n v="103"/>
  </r>
  <r>
    <d v="2025-01-20T00:00:00"/>
    <n v="2025"/>
    <x v="0"/>
    <x v="2"/>
    <x v="1"/>
    <x v="1"/>
    <s v="Brownie"/>
    <x v="1"/>
    <x v="1"/>
    <n v="5"/>
    <n v="70"/>
    <n v="350"/>
  </r>
  <r>
    <d v="2025-01-21T00:00:00"/>
    <n v="2025"/>
    <x v="0"/>
    <x v="4"/>
    <x v="3"/>
    <x v="2"/>
    <s v="Masala Tea"/>
    <x v="1"/>
    <x v="2"/>
    <n v="5"/>
    <n v="201"/>
    <n v="1005"/>
  </r>
  <r>
    <d v="2025-01-22T00:00:00"/>
    <n v="2025"/>
    <x v="0"/>
    <x v="0"/>
    <x v="4"/>
    <x v="2"/>
    <s v="Masala Tea"/>
    <x v="0"/>
    <x v="1"/>
    <n v="5"/>
    <n v="222"/>
    <n v="1110"/>
  </r>
  <r>
    <d v="2025-01-23T00:00:00"/>
    <n v="2025"/>
    <x v="0"/>
    <x v="2"/>
    <x v="0"/>
    <x v="0"/>
    <s v="Americano"/>
    <x v="0"/>
    <x v="2"/>
    <n v="4"/>
    <n v="118"/>
    <n v="472"/>
  </r>
  <r>
    <d v="2025-01-24T00:00:00"/>
    <n v="2025"/>
    <x v="0"/>
    <x v="2"/>
    <x v="1"/>
    <x v="1"/>
    <s v="Croissant"/>
    <x v="1"/>
    <x v="0"/>
    <n v="6"/>
    <n v="155"/>
    <n v="930"/>
  </r>
  <r>
    <d v="2025-01-25T00:00:00"/>
    <n v="2025"/>
    <x v="0"/>
    <x v="0"/>
    <x v="3"/>
    <x v="1"/>
    <s v="Muffin"/>
    <x v="1"/>
    <x v="1"/>
    <n v="5"/>
    <n v="176"/>
    <n v="880"/>
  </r>
  <r>
    <d v="2025-01-26T00:00:00"/>
    <n v="2025"/>
    <x v="0"/>
    <x v="4"/>
    <x v="1"/>
    <x v="1"/>
    <s v="Croissant"/>
    <x v="1"/>
    <x v="1"/>
    <n v="6"/>
    <n v="137"/>
    <n v="822"/>
  </r>
  <r>
    <d v="2025-01-27T00:00:00"/>
    <n v="2025"/>
    <x v="0"/>
    <x v="4"/>
    <x v="2"/>
    <x v="1"/>
    <s v="Brownie"/>
    <x v="1"/>
    <x v="2"/>
    <n v="4"/>
    <n v="195"/>
    <n v="780"/>
  </r>
  <r>
    <d v="2025-01-28T00:00:00"/>
    <n v="2025"/>
    <x v="0"/>
    <x v="1"/>
    <x v="1"/>
    <x v="0"/>
    <s v="Mocha"/>
    <x v="0"/>
    <x v="2"/>
    <n v="5"/>
    <n v="88"/>
    <n v="440"/>
  </r>
  <r>
    <d v="2025-01-29T00:00:00"/>
    <n v="2025"/>
    <x v="0"/>
    <x v="2"/>
    <x v="3"/>
    <x v="2"/>
    <s v="Masala Tea"/>
    <x v="1"/>
    <x v="2"/>
    <n v="6"/>
    <n v="173"/>
    <n v="1038"/>
  </r>
  <r>
    <d v="2025-01-30T00:00:00"/>
    <n v="2025"/>
    <x v="0"/>
    <x v="2"/>
    <x v="2"/>
    <x v="1"/>
    <s v="Croissant"/>
    <x v="0"/>
    <x v="0"/>
    <n v="4"/>
    <n v="193"/>
    <n v="772"/>
  </r>
  <r>
    <d v="2025-01-31T00:00:00"/>
    <n v="2025"/>
    <x v="0"/>
    <x v="4"/>
    <x v="0"/>
    <x v="2"/>
    <s v="Masala Tea"/>
    <x v="1"/>
    <x v="2"/>
    <n v="4"/>
    <n v="146"/>
    <n v="584"/>
  </r>
  <r>
    <d v="2025-02-01T00:00:00"/>
    <n v="2025"/>
    <x v="1"/>
    <x v="4"/>
    <x v="1"/>
    <x v="2"/>
    <s v="Black Tea"/>
    <x v="1"/>
    <x v="2"/>
    <n v="3"/>
    <n v="162"/>
    <n v="486"/>
  </r>
  <r>
    <d v="2025-02-02T00:00:00"/>
    <n v="2025"/>
    <x v="1"/>
    <x v="1"/>
    <x v="2"/>
    <x v="1"/>
    <s v="Brownie"/>
    <x v="1"/>
    <x v="0"/>
    <n v="5"/>
    <n v="148"/>
    <n v="740"/>
  </r>
  <r>
    <d v="2025-02-03T00:00:00"/>
    <n v="2025"/>
    <x v="1"/>
    <x v="1"/>
    <x v="0"/>
    <x v="2"/>
    <s v="Black Tea"/>
    <x v="0"/>
    <x v="0"/>
    <n v="4"/>
    <n v="60"/>
    <n v="240"/>
  </r>
  <r>
    <d v="2025-02-04T00:00:00"/>
    <n v="2025"/>
    <x v="1"/>
    <x v="1"/>
    <x v="4"/>
    <x v="0"/>
    <s v="Espresso"/>
    <x v="1"/>
    <x v="1"/>
    <n v="6"/>
    <n v="125"/>
    <n v="750"/>
  </r>
  <r>
    <d v="2025-02-05T00:00:00"/>
    <n v="2025"/>
    <x v="1"/>
    <x v="3"/>
    <x v="0"/>
    <x v="0"/>
    <s v="Espresso"/>
    <x v="1"/>
    <x v="0"/>
    <n v="3"/>
    <n v="226"/>
    <n v="678"/>
  </r>
  <r>
    <d v="2025-02-06T00:00:00"/>
    <n v="2025"/>
    <x v="1"/>
    <x v="2"/>
    <x v="1"/>
    <x v="1"/>
    <s v="Croissant"/>
    <x v="1"/>
    <x v="0"/>
    <n v="1"/>
    <n v="243"/>
    <n v="243"/>
  </r>
  <r>
    <d v="2025-02-07T00:00:00"/>
    <n v="2025"/>
    <x v="1"/>
    <x v="3"/>
    <x v="1"/>
    <x v="0"/>
    <s v="Americano"/>
    <x v="1"/>
    <x v="2"/>
    <n v="5"/>
    <n v="116"/>
    <n v="580"/>
  </r>
  <r>
    <d v="2025-02-08T00:00:00"/>
    <n v="2025"/>
    <x v="1"/>
    <x v="1"/>
    <x v="4"/>
    <x v="1"/>
    <s v="Croissant"/>
    <x v="0"/>
    <x v="2"/>
    <n v="4"/>
    <n v="118"/>
    <n v="472"/>
  </r>
  <r>
    <d v="2025-02-09T00:00:00"/>
    <n v="2025"/>
    <x v="1"/>
    <x v="0"/>
    <x v="0"/>
    <x v="0"/>
    <s v="Americano"/>
    <x v="0"/>
    <x v="1"/>
    <n v="1"/>
    <n v="226"/>
    <n v="226"/>
  </r>
  <r>
    <d v="2025-02-10T00:00:00"/>
    <n v="2025"/>
    <x v="1"/>
    <x v="4"/>
    <x v="4"/>
    <x v="0"/>
    <s v="Americano"/>
    <x v="0"/>
    <x v="2"/>
    <n v="2"/>
    <n v="167"/>
    <n v="334"/>
  </r>
  <r>
    <d v="2025-02-11T00:00:00"/>
    <n v="2025"/>
    <x v="1"/>
    <x v="0"/>
    <x v="4"/>
    <x v="0"/>
    <s v="Cappuccino"/>
    <x v="1"/>
    <x v="2"/>
    <n v="1"/>
    <n v="139"/>
    <n v="139"/>
  </r>
  <r>
    <d v="2025-02-12T00:00:00"/>
    <n v="2025"/>
    <x v="1"/>
    <x v="4"/>
    <x v="2"/>
    <x v="1"/>
    <s v="Croissant"/>
    <x v="1"/>
    <x v="1"/>
    <n v="4"/>
    <n v="178"/>
    <n v="712"/>
  </r>
  <r>
    <d v="2025-02-13T00:00:00"/>
    <n v="2025"/>
    <x v="1"/>
    <x v="4"/>
    <x v="2"/>
    <x v="0"/>
    <s v="Espresso"/>
    <x v="0"/>
    <x v="1"/>
    <n v="3"/>
    <n v="217"/>
    <n v="651"/>
  </r>
  <r>
    <d v="2025-02-14T00:00:00"/>
    <n v="2025"/>
    <x v="1"/>
    <x v="4"/>
    <x v="0"/>
    <x v="2"/>
    <s v="Masala Tea"/>
    <x v="1"/>
    <x v="1"/>
    <n v="4"/>
    <n v="142"/>
    <n v="568"/>
  </r>
  <r>
    <d v="2025-02-15T00:00:00"/>
    <n v="2025"/>
    <x v="1"/>
    <x v="2"/>
    <x v="4"/>
    <x v="0"/>
    <s v="Americano"/>
    <x v="1"/>
    <x v="2"/>
    <n v="3"/>
    <n v="88"/>
    <n v="264"/>
  </r>
  <r>
    <d v="2025-02-16T00:00:00"/>
    <n v="2025"/>
    <x v="1"/>
    <x v="4"/>
    <x v="1"/>
    <x v="1"/>
    <s v="Croissant"/>
    <x v="1"/>
    <x v="0"/>
    <n v="3"/>
    <n v="208"/>
    <n v="624"/>
  </r>
  <r>
    <d v="2025-02-17T00:00:00"/>
    <n v="2025"/>
    <x v="1"/>
    <x v="3"/>
    <x v="2"/>
    <x v="1"/>
    <s v="Brownie"/>
    <x v="1"/>
    <x v="1"/>
    <n v="6"/>
    <n v="119"/>
    <n v="714"/>
  </r>
  <r>
    <d v="2025-02-18T00:00:00"/>
    <n v="2025"/>
    <x v="1"/>
    <x v="0"/>
    <x v="4"/>
    <x v="2"/>
    <s v="Green Tea"/>
    <x v="1"/>
    <x v="0"/>
    <n v="5"/>
    <n v="226"/>
    <n v="1130"/>
  </r>
  <r>
    <d v="2025-02-19T00:00:00"/>
    <n v="2025"/>
    <x v="1"/>
    <x v="4"/>
    <x v="4"/>
    <x v="0"/>
    <s v="Mocha"/>
    <x v="0"/>
    <x v="1"/>
    <n v="6"/>
    <n v="87"/>
    <n v="522"/>
  </r>
  <r>
    <d v="2025-02-20T00:00:00"/>
    <n v="2025"/>
    <x v="1"/>
    <x v="0"/>
    <x v="2"/>
    <x v="0"/>
    <s v="Cappuccino"/>
    <x v="0"/>
    <x v="0"/>
    <n v="4"/>
    <n v="96"/>
    <n v="384"/>
  </r>
  <r>
    <d v="2025-02-21T00:00:00"/>
    <n v="2025"/>
    <x v="1"/>
    <x v="4"/>
    <x v="2"/>
    <x v="0"/>
    <s v="Americano"/>
    <x v="1"/>
    <x v="0"/>
    <n v="3"/>
    <n v="249"/>
    <n v="747"/>
  </r>
  <r>
    <d v="2025-02-22T00:00:00"/>
    <n v="2025"/>
    <x v="1"/>
    <x v="2"/>
    <x v="4"/>
    <x v="1"/>
    <s v="Muffin"/>
    <x v="1"/>
    <x v="0"/>
    <n v="2"/>
    <n v="168"/>
    <n v="336"/>
  </r>
  <r>
    <d v="2025-02-23T00:00:00"/>
    <n v="2025"/>
    <x v="1"/>
    <x v="4"/>
    <x v="2"/>
    <x v="1"/>
    <s v="Brownie"/>
    <x v="0"/>
    <x v="2"/>
    <n v="6"/>
    <n v="125"/>
    <n v="750"/>
  </r>
  <r>
    <d v="2025-02-24T00:00:00"/>
    <n v="2025"/>
    <x v="1"/>
    <x v="4"/>
    <x v="3"/>
    <x v="2"/>
    <s v="Masala Tea"/>
    <x v="0"/>
    <x v="1"/>
    <n v="6"/>
    <n v="149"/>
    <n v="894"/>
  </r>
  <r>
    <d v="2025-02-25T00:00:00"/>
    <n v="2025"/>
    <x v="1"/>
    <x v="0"/>
    <x v="0"/>
    <x v="1"/>
    <s v="Croissant"/>
    <x v="1"/>
    <x v="0"/>
    <n v="3"/>
    <n v="169"/>
    <n v="507"/>
  </r>
  <r>
    <d v="2025-02-26T00:00:00"/>
    <n v="2025"/>
    <x v="1"/>
    <x v="2"/>
    <x v="0"/>
    <x v="0"/>
    <s v="Mocha"/>
    <x v="0"/>
    <x v="2"/>
    <n v="4"/>
    <n v="203"/>
    <n v="812"/>
  </r>
  <r>
    <d v="2025-02-27T00:00:00"/>
    <n v="2025"/>
    <x v="1"/>
    <x v="3"/>
    <x v="4"/>
    <x v="2"/>
    <s v="Masala Tea"/>
    <x v="0"/>
    <x v="1"/>
    <n v="4"/>
    <n v="226"/>
    <n v="904"/>
  </r>
  <r>
    <d v="2025-02-28T00:00:00"/>
    <n v="2025"/>
    <x v="1"/>
    <x v="1"/>
    <x v="1"/>
    <x v="0"/>
    <s v="Cappuccino"/>
    <x v="1"/>
    <x v="2"/>
    <n v="6"/>
    <n v="112"/>
    <n v="672"/>
  </r>
  <r>
    <d v="2025-03-01T00:00:00"/>
    <n v="2025"/>
    <x v="2"/>
    <x v="4"/>
    <x v="1"/>
    <x v="2"/>
    <s v="Masala Tea"/>
    <x v="0"/>
    <x v="1"/>
    <n v="3"/>
    <n v="222"/>
    <n v="666"/>
  </r>
  <r>
    <d v="2025-03-02T00:00:00"/>
    <n v="2025"/>
    <x v="2"/>
    <x v="1"/>
    <x v="0"/>
    <x v="2"/>
    <s v="Black Tea"/>
    <x v="1"/>
    <x v="0"/>
    <n v="5"/>
    <n v="110"/>
    <n v="550"/>
  </r>
  <r>
    <d v="2025-03-03T00:00:00"/>
    <n v="2025"/>
    <x v="2"/>
    <x v="1"/>
    <x v="2"/>
    <x v="2"/>
    <s v="Green Tea"/>
    <x v="0"/>
    <x v="1"/>
    <n v="5"/>
    <n v="107"/>
    <n v="535"/>
  </r>
  <r>
    <d v="2025-03-04T00:00:00"/>
    <n v="2025"/>
    <x v="2"/>
    <x v="1"/>
    <x v="3"/>
    <x v="2"/>
    <s v="Black Tea"/>
    <x v="0"/>
    <x v="1"/>
    <n v="3"/>
    <n v="79"/>
    <n v="237"/>
  </r>
  <r>
    <d v="2025-03-05T00:00:00"/>
    <n v="2025"/>
    <x v="2"/>
    <x v="2"/>
    <x v="2"/>
    <x v="0"/>
    <s v="Cappuccino"/>
    <x v="0"/>
    <x v="2"/>
    <n v="5"/>
    <n v="62"/>
    <n v="310"/>
  </r>
  <r>
    <d v="2025-03-06T00:00:00"/>
    <n v="2025"/>
    <x v="2"/>
    <x v="0"/>
    <x v="0"/>
    <x v="1"/>
    <s v="Muffin"/>
    <x v="0"/>
    <x v="0"/>
    <n v="2"/>
    <n v="228"/>
    <n v="456"/>
  </r>
  <r>
    <d v="2025-03-07T00:00:00"/>
    <n v="2025"/>
    <x v="2"/>
    <x v="4"/>
    <x v="4"/>
    <x v="0"/>
    <s v="Americano"/>
    <x v="0"/>
    <x v="1"/>
    <n v="4"/>
    <n v="102"/>
    <n v="408"/>
  </r>
  <r>
    <d v="2025-03-08T00:00:00"/>
    <n v="2025"/>
    <x v="2"/>
    <x v="4"/>
    <x v="4"/>
    <x v="2"/>
    <s v="Masala Tea"/>
    <x v="1"/>
    <x v="0"/>
    <n v="1"/>
    <n v="228"/>
    <n v="228"/>
  </r>
  <r>
    <d v="2025-03-09T00:00:00"/>
    <n v="2025"/>
    <x v="2"/>
    <x v="0"/>
    <x v="3"/>
    <x v="1"/>
    <s v="Croissant"/>
    <x v="0"/>
    <x v="1"/>
    <n v="2"/>
    <n v="90"/>
    <n v="180"/>
  </r>
  <r>
    <d v="2025-03-10T00:00:00"/>
    <n v="2025"/>
    <x v="2"/>
    <x v="0"/>
    <x v="2"/>
    <x v="1"/>
    <s v="Muffin"/>
    <x v="1"/>
    <x v="2"/>
    <n v="3"/>
    <n v="171"/>
    <n v="513"/>
  </r>
  <r>
    <d v="2025-03-11T00:00:00"/>
    <n v="2025"/>
    <x v="2"/>
    <x v="3"/>
    <x v="1"/>
    <x v="2"/>
    <s v="Green Tea"/>
    <x v="1"/>
    <x v="1"/>
    <n v="3"/>
    <n v="120"/>
    <n v="360"/>
  </r>
  <r>
    <d v="2025-03-12T00:00:00"/>
    <n v="2025"/>
    <x v="2"/>
    <x v="3"/>
    <x v="3"/>
    <x v="0"/>
    <s v="Latte"/>
    <x v="0"/>
    <x v="2"/>
    <n v="5"/>
    <n v="170"/>
    <n v="850"/>
  </r>
  <r>
    <d v="2025-03-13T00:00:00"/>
    <n v="2025"/>
    <x v="2"/>
    <x v="4"/>
    <x v="4"/>
    <x v="0"/>
    <s v="Espresso"/>
    <x v="0"/>
    <x v="0"/>
    <n v="1"/>
    <n v="128"/>
    <n v="128"/>
  </r>
  <r>
    <d v="2025-03-14T00:00:00"/>
    <n v="2025"/>
    <x v="2"/>
    <x v="0"/>
    <x v="4"/>
    <x v="1"/>
    <s v="Brownie"/>
    <x v="1"/>
    <x v="0"/>
    <n v="3"/>
    <n v="133"/>
    <n v="399"/>
  </r>
  <r>
    <d v="2025-03-15T00:00:00"/>
    <n v="2025"/>
    <x v="2"/>
    <x v="4"/>
    <x v="3"/>
    <x v="1"/>
    <s v="Croissant"/>
    <x v="1"/>
    <x v="1"/>
    <n v="1"/>
    <n v="74"/>
    <n v="74"/>
  </r>
  <r>
    <d v="2025-03-16T00:00:00"/>
    <n v="2025"/>
    <x v="2"/>
    <x v="2"/>
    <x v="0"/>
    <x v="1"/>
    <s v="Brownie"/>
    <x v="0"/>
    <x v="2"/>
    <n v="6"/>
    <n v="67"/>
    <n v="402"/>
  </r>
  <r>
    <d v="2025-03-17T00:00:00"/>
    <n v="2025"/>
    <x v="2"/>
    <x v="1"/>
    <x v="0"/>
    <x v="1"/>
    <s v="Croissant"/>
    <x v="1"/>
    <x v="2"/>
    <n v="2"/>
    <n v="86"/>
    <n v="172"/>
  </r>
  <r>
    <d v="2025-03-18T00:00:00"/>
    <n v="2025"/>
    <x v="2"/>
    <x v="0"/>
    <x v="3"/>
    <x v="0"/>
    <s v="Mocha"/>
    <x v="0"/>
    <x v="2"/>
    <n v="5"/>
    <n v="101"/>
    <n v="505"/>
  </r>
  <r>
    <d v="2025-03-19T00:00:00"/>
    <n v="2025"/>
    <x v="2"/>
    <x v="2"/>
    <x v="3"/>
    <x v="1"/>
    <s v="Croissant"/>
    <x v="1"/>
    <x v="0"/>
    <n v="6"/>
    <n v="89"/>
    <n v="534"/>
  </r>
  <r>
    <d v="2025-03-20T00:00:00"/>
    <n v="2025"/>
    <x v="2"/>
    <x v="0"/>
    <x v="2"/>
    <x v="2"/>
    <s v="Masala Tea"/>
    <x v="0"/>
    <x v="0"/>
    <n v="4"/>
    <n v="151"/>
    <n v="604"/>
  </r>
  <r>
    <d v="2025-03-21T00:00:00"/>
    <n v="2025"/>
    <x v="2"/>
    <x v="0"/>
    <x v="1"/>
    <x v="1"/>
    <s v="Muffin"/>
    <x v="0"/>
    <x v="0"/>
    <n v="2"/>
    <n v="96"/>
    <n v="192"/>
  </r>
  <r>
    <d v="2025-03-22T00:00:00"/>
    <n v="2025"/>
    <x v="2"/>
    <x v="4"/>
    <x v="3"/>
    <x v="0"/>
    <s v="Latte"/>
    <x v="0"/>
    <x v="0"/>
    <n v="3"/>
    <n v="210"/>
    <n v="630"/>
  </r>
  <r>
    <d v="2025-03-23T00:00:00"/>
    <n v="2025"/>
    <x v="2"/>
    <x v="3"/>
    <x v="2"/>
    <x v="1"/>
    <s v="Muffin"/>
    <x v="0"/>
    <x v="1"/>
    <n v="6"/>
    <n v="148"/>
    <n v="888"/>
  </r>
  <r>
    <d v="2025-03-24T00:00:00"/>
    <n v="2025"/>
    <x v="2"/>
    <x v="1"/>
    <x v="2"/>
    <x v="2"/>
    <s v="Green Tea"/>
    <x v="1"/>
    <x v="2"/>
    <n v="4"/>
    <n v="236"/>
    <n v="944"/>
  </r>
  <r>
    <d v="2025-03-25T00:00:00"/>
    <n v="2025"/>
    <x v="2"/>
    <x v="4"/>
    <x v="3"/>
    <x v="1"/>
    <s v="Muffin"/>
    <x v="1"/>
    <x v="1"/>
    <n v="1"/>
    <n v="157"/>
    <n v="157"/>
  </r>
  <r>
    <d v="2025-03-26T00:00:00"/>
    <n v="2025"/>
    <x v="2"/>
    <x v="4"/>
    <x v="0"/>
    <x v="2"/>
    <s v="Black Tea"/>
    <x v="0"/>
    <x v="0"/>
    <n v="2"/>
    <n v="170"/>
    <n v="340"/>
  </r>
  <r>
    <d v="2025-03-27T00:00:00"/>
    <n v="2025"/>
    <x v="2"/>
    <x v="1"/>
    <x v="0"/>
    <x v="1"/>
    <s v="Brownie"/>
    <x v="0"/>
    <x v="2"/>
    <n v="1"/>
    <n v="204"/>
    <n v="204"/>
  </r>
  <r>
    <d v="2025-03-28T00:00:00"/>
    <n v="2025"/>
    <x v="2"/>
    <x v="4"/>
    <x v="1"/>
    <x v="0"/>
    <s v="Espresso"/>
    <x v="0"/>
    <x v="1"/>
    <n v="3"/>
    <n v="71"/>
    <n v="213"/>
  </r>
  <r>
    <d v="2025-03-29T00:00:00"/>
    <n v="2025"/>
    <x v="2"/>
    <x v="1"/>
    <x v="4"/>
    <x v="0"/>
    <s v="Cappuccino"/>
    <x v="1"/>
    <x v="0"/>
    <n v="2"/>
    <n v="151"/>
    <n v="302"/>
  </r>
  <r>
    <d v="2025-03-30T00:00:00"/>
    <n v="2025"/>
    <x v="2"/>
    <x v="2"/>
    <x v="3"/>
    <x v="2"/>
    <s v="Black Tea"/>
    <x v="1"/>
    <x v="0"/>
    <n v="4"/>
    <n v="153"/>
    <n v="612"/>
  </r>
  <r>
    <d v="2025-03-31T00:00:00"/>
    <n v="2025"/>
    <x v="2"/>
    <x v="1"/>
    <x v="1"/>
    <x v="1"/>
    <s v="Croissant"/>
    <x v="0"/>
    <x v="1"/>
    <n v="3"/>
    <n v="167"/>
    <n v="501"/>
  </r>
  <r>
    <d v="2025-01-01T00:00:00"/>
    <n v="2025"/>
    <x v="0"/>
    <x v="0"/>
    <x v="2"/>
    <x v="0"/>
    <s v="Cappuccino"/>
    <x v="1"/>
    <x v="0"/>
    <n v="3"/>
    <n v="108"/>
    <n v="324"/>
  </r>
  <r>
    <d v="2025-01-02T00:00:00"/>
    <n v="2025"/>
    <x v="0"/>
    <x v="3"/>
    <x v="3"/>
    <x v="0"/>
    <s v="Americano"/>
    <x v="1"/>
    <x v="0"/>
    <n v="2"/>
    <n v="104"/>
    <n v="208"/>
  </r>
  <r>
    <d v="2025-01-03T00:00:00"/>
    <n v="2025"/>
    <x v="0"/>
    <x v="4"/>
    <x v="1"/>
    <x v="1"/>
    <s v="Brownie"/>
    <x v="1"/>
    <x v="0"/>
    <n v="1"/>
    <n v="206"/>
    <n v="206"/>
  </r>
  <r>
    <d v="2025-01-04T00:00:00"/>
    <n v="2025"/>
    <x v="0"/>
    <x v="0"/>
    <x v="4"/>
    <x v="0"/>
    <s v="Cappuccino"/>
    <x v="0"/>
    <x v="0"/>
    <n v="5"/>
    <n v="184"/>
    <n v="920"/>
  </r>
  <r>
    <d v="2025-01-05T00:00:00"/>
    <n v="2025"/>
    <x v="0"/>
    <x v="0"/>
    <x v="2"/>
    <x v="0"/>
    <s v="Latte"/>
    <x v="0"/>
    <x v="1"/>
    <n v="4"/>
    <n v="229"/>
    <n v="916"/>
  </r>
  <r>
    <d v="2025-01-06T00:00:00"/>
    <n v="2025"/>
    <x v="0"/>
    <x v="3"/>
    <x v="1"/>
    <x v="0"/>
    <s v="Americano"/>
    <x v="1"/>
    <x v="0"/>
    <n v="4"/>
    <n v="232"/>
    <n v="928"/>
  </r>
  <r>
    <d v="2025-01-07T00:00:00"/>
    <n v="2025"/>
    <x v="0"/>
    <x v="3"/>
    <x v="1"/>
    <x v="1"/>
    <s v="Brownie"/>
    <x v="1"/>
    <x v="1"/>
    <n v="2"/>
    <n v="77"/>
    <n v="154"/>
  </r>
  <r>
    <d v="2025-01-08T00:00:00"/>
    <n v="2025"/>
    <x v="0"/>
    <x v="4"/>
    <x v="4"/>
    <x v="1"/>
    <s v="Croissant"/>
    <x v="0"/>
    <x v="1"/>
    <n v="3"/>
    <n v="207"/>
    <n v="621"/>
  </r>
  <r>
    <d v="2025-01-09T00:00:00"/>
    <n v="2025"/>
    <x v="0"/>
    <x v="3"/>
    <x v="1"/>
    <x v="1"/>
    <s v="Muffin"/>
    <x v="1"/>
    <x v="2"/>
    <n v="5"/>
    <n v="206"/>
    <n v="1030"/>
  </r>
  <r>
    <d v="2025-01-10T00:00:00"/>
    <n v="2025"/>
    <x v="0"/>
    <x v="2"/>
    <x v="0"/>
    <x v="0"/>
    <s v="Cappuccino"/>
    <x v="1"/>
    <x v="2"/>
    <n v="5"/>
    <n v="155"/>
    <n v="775"/>
  </r>
  <r>
    <d v="2025-01-11T00:00:00"/>
    <n v="2025"/>
    <x v="0"/>
    <x v="1"/>
    <x v="4"/>
    <x v="2"/>
    <s v="Masala Tea"/>
    <x v="0"/>
    <x v="0"/>
    <n v="3"/>
    <n v="91"/>
    <n v="273"/>
  </r>
  <r>
    <d v="2025-01-12T00:00:00"/>
    <n v="2025"/>
    <x v="0"/>
    <x v="4"/>
    <x v="3"/>
    <x v="2"/>
    <s v="Masala Tea"/>
    <x v="1"/>
    <x v="1"/>
    <n v="5"/>
    <n v="201"/>
    <n v="1005"/>
  </r>
  <r>
    <d v="2025-01-13T00:00:00"/>
    <n v="2025"/>
    <x v="0"/>
    <x v="3"/>
    <x v="3"/>
    <x v="2"/>
    <s v="Masala Tea"/>
    <x v="0"/>
    <x v="2"/>
    <n v="5"/>
    <n v="224"/>
    <n v="1120"/>
  </r>
  <r>
    <d v="2025-01-14T00:00:00"/>
    <n v="2025"/>
    <x v="0"/>
    <x v="2"/>
    <x v="4"/>
    <x v="2"/>
    <s v="Green Tea"/>
    <x v="0"/>
    <x v="2"/>
    <n v="1"/>
    <n v="182"/>
    <n v="182"/>
  </r>
  <r>
    <d v="2025-01-15T00:00:00"/>
    <n v="2025"/>
    <x v="0"/>
    <x v="3"/>
    <x v="4"/>
    <x v="1"/>
    <s v="Croissant"/>
    <x v="0"/>
    <x v="2"/>
    <n v="1"/>
    <n v="246"/>
    <n v="246"/>
  </r>
  <r>
    <d v="2025-01-16T00:00:00"/>
    <n v="2025"/>
    <x v="0"/>
    <x v="3"/>
    <x v="3"/>
    <x v="0"/>
    <s v="Espresso"/>
    <x v="0"/>
    <x v="1"/>
    <n v="5"/>
    <n v="136"/>
    <n v="680"/>
  </r>
  <r>
    <d v="2025-01-17T00:00:00"/>
    <n v="2025"/>
    <x v="0"/>
    <x v="3"/>
    <x v="2"/>
    <x v="0"/>
    <s v="Americano"/>
    <x v="0"/>
    <x v="0"/>
    <n v="2"/>
    <n v="106"/>
    <n v="212"/>
  </r>
  <r>
    <d v="2025-01-18T00:00:00"/>
    <n v="2025"/>
    <x v="0"/>
    <x v="3"/>
    <x v="4"/>
    <x v="1"/>
    <s v="Muffin"/>
    <x v="1"/>
    <x v="2"/>
    <n v="4"/>
    <n v="154"/>
    <n v="616"/>
  </r>
  <r>
    <d v="2025-01-19T00:00:00"/>
    <n v="2025"/>
    <x v="0"/>
    <x v="2"/>
    <x v="4"/>
    <x v="0"/>
    <s v="Mocha"/>
    <x v="0"/>
    <x v="2"/>
    <n v="1"/>
    <n v="199"/>
    <n v="199"/>
  </r>
  <r>
    <d v="2025-01-20T00:00:00"/>
    <n v="2025"/>
    <x v="0"/>
    <x v="4"/>
    <x v="3"/>
    <x v="0"/>
    <s v="Americano"/>
    <x v="0"/>
    <x v="1"/>
    <n v="6"/>
    <n v="121"/>
    <n v="726"/>
  </r>
  <r>
    <d v="2025-01-21T00:00:00"/>
    <n v="2025"/>
    <x v="0"/>
    <x v="3"/>
    <x v="4"/>
    <x v="0"/>
    <s v="Espresso"/>
    <x v="0"/>
    <x v="2"/>
    <n v="4"/>
    <n v="212"/>
    <n v="848"/>
  </r>
  <r>
    <d v="2025-01-22T00:00:00"/>
    <n v="2025"/>
    <x v="0"/>
    <x v="0"/>
    <x v="0"/>
    <x v="1"/>
    <s v="Brownie"/>
    <x v="0"/>
    <x v="1"/>
    <n v="5"/>
    <n v="139"/>
    <n v="695"/>
  </r>
  <r>
    <d v="2025-01-23T00:00:00"/>
    <n v="2025"/>
    <x v="0"/>
    <x v="2"/>
    <x v="4"/>
    <x v="1"/>
    <s v="Croissant"/>
    <x v="1"/>
    <x v="2"/>
    <n v="5"/>
    <n v="64"/>
    <n v="320"/>
  </r>
  <r>
    <d v="2025-01-24T00:00:00"/>
    <n v="2025"/>
    <x v="0"/>
    <x v="0"/>
    <x v="3"/>
    <x v="1"/>
    <s v="Muffin"/>
    <x v="0"/>
    <x v="2"/>
    <n v="6"/>
    <n v="137"/>
    <n v="822"/>
  </r>
  <r>
    <d v="2025-01-25T00:00:00"/>
    <n v="2025"/>
    <x v="0"/>
    <x v="4"/>
    <x v="1"/>
    <x v="1"/>
    <s v="Croissant"/>
    <x v="1"/>
    <x v="1"/>
    <n v="6"/>
    <n v="188"/>
    <n v="1128"/>
  </r>
  <r>
    <d v="2025-01-26T00:00:00"/>
    <n v="2025"/>
    <x v="0"/>
    <x v="0"/>
    <x v="0"/>
    <x v="1"/>
    <s v="Brownie"/>
    <x v="1"/>
    <x v="1"/>
    <n v="2"/>
    <n v="190"/>
    <n v="380"/>
  </r>
  <r>
    <d v="2025-01-27T00:00:00"/>
    <n v="2025"/>
    <x v="0"/>
    <x v="2"/>
    <x v="1"/>
    <x v="1"/>
    <s v="Muffin"/>
    <x v="1"/>
    <x v="1"/>
    <n v="6"/>
    <n v="189"/>
    <n v="1134"/>
  </r>
  <r>
    <d v="2025-01-28T00:00:00"/>
    <n v="2025"/>
    <x v="0"/>
    <x v="3"/>
    <x v="3"/>
    <x v="1"/>
    <s v="Croissant"/>
    <x v="1"/>
    <x v="2"/>
    <n v="3"/>
    <n v="203"/>
    <n v="609"/>
  </r>
  <r>
    <d v="2025-01-29T00:00:00"/>
    <n v="2025"/>
    <x v="0"/>
    <x v="4"/>
    <x v="4"/>
    <x v="0"/>
    <s v="Latte"/>
    <x v="0"/>
    <x v="2"/>
    <n v="3"/>
    <n v="228"/>
    <n v="684"/>
  </r>
  <r>
    <d v="2025-01-30T00:00:00"/>
    <n v="2025"/>
    <x v="0"/>
    <x v="2"/>
    <x v="3"/>
    <x v="2"/>
    <s v="Masala Tea"/>
    <x v="1"/>
    <x v="1"/>
    <n v="5"/>
    <n v="68"/>
    <n v="340"/>
  </r>
  <r>
    <d v="2025-01-31T00:00:00"/>
    <n v="2025"/>
    <x v="0"/>
    <x v="2"/>
    <x v="2"/>
    <x v="0"/>
    <s v="Espresso"/>
    <x v="0"/>
    <x v="1"/>
    <n v="6"/>
    <n v="101"/>
    <n v="606"/>
  </r>
  <r>
    <d v="2025-02-01T00:00:00"/>
    <n v="2025"/>
    <x v="1"/>
    <x v="1"/>
    <x v="0"/>
    <x v="2"/>
    <s v="Green Tea"/>
    <x v="1"/>
    <x v="1"/>
    <n v="3"/>
    <n v="104"/>
    <n v="312"/>
  </r>
  <r>
    <d v="2025-02-02T00:00:00"/>
    <n v="2025"/>
    <x v="1"/>
    <x v="1"/>
    <x v="4"/>
    <x v="1"/>
    <s v="Brownie"/>
    <x v="1"/>
    <x v="0"/>
    <n v="6"/>
    <n v="135"/>
    <n v="810"/>
  </r>
  <r>
    <d v="2025-02-03T00:00:00"/>
    <n v="2025"/>
    <x v="1"/>
    <x v="2"/>
    <x v="4"/>
    <x v="1"/>
    <s v="Croissant"/>
    <x v="1"/>
    <x v="0"/>
    <n v="5"/>
    <n v="244"/>
    <n v="1220"/>
  </r>
  <r>
    <d v="2025-02-04T00:00:00"/>
    <n v="2025"/>
    <x v="1"/>
    <x v="1"/>
    <x v="4"/>
    <x v="1"/>
    <s v="Brownie"/>
    <x v="0"/>
    <x v="1"/>
    <n v="2"/>
    <n v="208"/>
    <n v="416"/>
  </r>
  <r>
    <d v="2025-02-05T00:00:00"/>
    <n v="2025"/>
    <x v="1"/>
    <x v="4"/>
    <x v="4"/>
    <x v="1"/>
    <s v="Muffin"/>
    <x v="0"/>
    <x v="1"/>
    <n v="2"/>
    <n v="228"/>
    <n v="456"/>
  </r>
  <r>
    <d v="2025-02-06T00:00:00"/>
    <n v="2025"/>
    <x v="1"/>
    <x v="2"/>
    <x v="3"/>
    <x v="2"/>
    <s v="Masala Tea"/>
    <x v="0"/>
    <x v="1"/>
    <n v="3"/>
    <n v="165"/>
    <n v="495"/>
  </r>
  <r>
    <d v="2025-02-07T00:00:00"/>
    <n v="2025"/>
    <x v="1"/>
    <x v="0"/>
    <x v="1"/>
    <x v="1"/>
    <s v="Croissant"/>
    <x v="1"/>
    <x v="2"/>
    <n v="4"/>
    <n v="233"/>
    <n v="932"/>
  </r>
  <r>
    <d v="2025-02-08T00:00:00"/>
    <n v="2025"/>
    <x v="1"/>
    <x v="1"/>
    <x v="0"/>
    <x v="1"/>
    <s v="Muffin"/>
    <x v="0"/>
    <x v="0"/>
    <n v="2"/>
    <n v="175"/>
    <n v="350"/>
  </r>
  <r>
    <d v="2025-02-09T00:00:00"/>
    <n v="2025"/>
    <x v="1"/>
    <x v="2"/>
    <x v="2"/>
    <x v="1"/>
    <s v="Croissant"/>
    <x v="0"/>
    <x v="1"/>
    <n v="3"/>
    <n v="77"/>
    <n v="231"/>
  </r>
  <r>
    <d v="2025-02-10T00:00:00"/>
    <n v="2025"/>
    <x v="1"/>
    <x v="3"/>
    <x v="4"/>
    <x v="2"/>
    <s v="Green Tea"/>
    <x v="0"/>
    <x v="1"/>
    <n v="6"/>
    <n v="178"/>
    <n v="1068"/>
  </r>
  <r>
    <d v="2025-02-11T00:00:00"/>
    <n v="2025"/>
    <x v="1"/>
    <x v="2"/>
    <x v="1"/>
    <x v="2"/>
    <s v="Masala Tea"/>
    <x v="1"/>
    <x v="1"/>
    <n v="1"/>
    <n v="169"/>
    <n v="169"/>
  </r>
  <r>
    <d v="2025-02-12T00:00:00"/>
    <n v="2025"/>
    <x v="1"/>
    <x v="4"/>
    <x v="2"/>
    <x v="2"/>
    <s v="Black Tea"/>
    <x v="0"/>
    <x v="0"/>
    <n v="3"/>
    <n v="167"/>
    <n v="501"/>
  </r>
  <r>
    <d v="2025-02-13T00:00:00"/>
    <n v="2025"/>
    <x v="1"/>
    <x v="1"/>
    <x v="1"/>
    <x v="1"/>
    <s v="Muffin"/>
    <x v="1"/>
    <x v="0"/>
    <n v="2"/>
    <n v="122"/>
    <n v="244"/>
  </r>
  <r>
    <d v="2025-02-14T00:00:00"/>
    <n v="2025"/>
    <x v="1"/>
    <x v="4"/>
    <x v="2"/>
    <x v="1"/>
    <s v="Croissant"/>
    <x v="1"/>
    <x v="2"/>
    <n v="3"/>
    <n v="118"/>
    <n v="354"/>
  </r>
  <r>
    <d v="2025-02-15T00:00:00"/>
    <n v="2025"/>
    <x v="1"/>
    <x v="4"/>
    <x v="1"/>
    <x v="0"/>
    <s v="Latte"/>
    <x v="0"/>
    <x v="2"/>
    <n v="2"/>
    <n v="106"/>
    <n v="212"/>
  </r>
  <r>
    <d v="2025-02-16T00:00:00"/>
    <n v="2025"/>
    <x v="1"/>
    <x v="1"/>
    <x v="3"/>
    <x v="0"/>
    <s v="Espresso"/>
    <x v="1"/>
    <x v="0"/>
    <n v="5"/>
    <n v="141"/>
    <n v="705"/>
  </r>
  <r>
    <d v="2025-02-17T00:00:00"/>
    <n v="2025"/>
    <x v="1"/>
    <x v="2"/>
    <x v="2"/>
    <x v="1"/>
    <s v="Brownie"/>
    <x v="1"/>
    <x v="1"/>
    <n v="1"/>
    <n v="90"/>
    <n v="90"/>
  </r>
  <r>
    <d v="2025-02-18T00:00:00"/>
    <n v="2025"/>
    <x v="1"/>
    <x v="0"/>
    <x v="4"/>
    <x v="1"/>
    <s v="Muffin"/>
    <x v="1"/>
    <x v="1"/>
    <n v="6"/>
    <n v="141"/>
    <n v="846"/>
  </r>
  <r>
    <d v="2025-02-19T00:00:00"/>
    <n v="2025"/>
    <x v="1"/>
    <x v="0"/>
    <x v="4"/>
    <x v="1"/>
    <s v="Croissant"/>
    <x v="0"/>
    <x v="2"/>
    <n v="1"/>
    <n v="87"/>
    <n v="87"/>
  </r>
  <r>
    <d v="2025-02-20T00:00:00"/>
    <n v="2025"/>
    <x v="1"/>
    <x v="1"/>
    <x v="1"/>
    <x v="0"/>
    <s v="Latte"/>
    <x v="1"/>
    <x v="0"/>
    <n v="5"/>
    <n v="194"/>
    <n v="970"/>
  </r>
  <r>
    <d v="2025-02-21T00:00:00"/>
    <n v="2025"/>
    <x v="1"/>
    <x v="3"/>
    <x v="4"/>
    <x v="1"/>
    <s v="Muffin"/>
    <x v="1"/>
    <x v="0"/>
    <n v="4"/>
    <n v="93"/>
    <n v="372"/>
  </r>
  <r>
    <d v="2025-02-22T00:00:00"/>
    <n v="2025"/>
    <x v="1"/>
    <x v="0"/>
    <x v="4"/>
    <x v="0"/>
    <s v="Espresso"/>
    <x v="0"/>
    <x v="1"/>
    <n v="5"/>
    <n v="211"/>
    <n v="1055"/>
  </r>
  <r>
    <d v="2025-02-23T00:00:00"/>
    <n v="2025"/>
    <x v="1"/>
    <x v="4"/>
    <x v="3"/>
    <x v="2"/>
    <s v="Green Tea"/>
    <x v="1"/>
    <x v="1"/>
    <n v="6"/>
    <n v="154"/>
    <n v="924"/>
  </r>
  <r>
    <d v="2025-02-24T00:00:00"/>
    <n v="2025"/>
    <x v="1"/>
    <x v="4"/>
    <x v="0"/>
    <x v="1"/>
    <s v="Muffin"/>
    <x v="0"/>
    <x v="0"/>
    <n v="2"/>
    <n v="74"/>
    <n v="148"/>
  </r>
  <r>
    <d v="2025-02-25T00:00:00"/>
    <n v="2025"/>
    <x v="1"/>
    <x v="2"/>
    <x v="2"/>
    <x v="0"/>
    <s v="Espresso"/>
    <x v="1"/>
    <x v="2"/>
    <n v="1"/>
    <n v="191"/>
    <n v="191"/>
  </r>
  <r>
    <d v="2025-02-26T00:00:00"/>
    <n v="2025"/>
    <x v="1"/>
    <x v="0"/>
    <x v="2"/>
    <x v="0"/>
    <s v="Espresso"/>
    <x v="0"/>
    <x v="1"/>
    <n v="6"/>
    <n v="93"/>
    <n v="558"/>
  </r>
  <r>
    <d v="2025-02-27T00:00:00"/>
    <n v="2025"/>
    <x v="1"/>
    <x v="4"/>
    <x v="4"/>
    <x v="2"/>
    <s v="Green Tea"/>
    <x v="1"/>
    <x v="2"/>
    <n v="3"/>
    <n v="83"/>
    <n v="249"/>
  </r>
  <r>
    <d v="2025-02-28T00:00:00"/>
    <n v="2025"/>
    <x v="1"/>
    <x v="1"/>
    <x v="3"/>
    <x v="2"/>
    <s v="Green Tea"/>
    <x v="0"/>
    <x v="0"/>
    <n v="2"/>
    <n v="151"/>
    <n v="302"/>
  </r>
  <r>
    <d v="2025-03-01T00:00:00"/>
    <n v="2025"/>
    <x v="2"/>
    <x v="3"/>
    <x v="3"/>
    <x v="0"/>
    <s v="Cappuccino"/>
    <x v="0"/>
    <x v="0"/>
    <n v="6"/>
    <n v="204"/>
    <n v="1224"/>
  </r>
  <r>
    <d v="2025-03-02T00:00:00"/>
    <n v="2025"/>
    <x v="2"/>
    <x v="2"/>
    <x v="2"/>
    <x v="1"/>
    <s v="Croissant"/>
    <x v="1"/>
    <x v="2"/>
    <n v="6"/>
    <n v="234"/>
    <n v="1404"/>
  </r>
  <r>
    <d v="2025-03-03T00:00:00"/>
    <n v="2025"/>
    <x v="2"/>
    <x v="4"/>
    <x v="2"/>
    <x v="1"/>
    <s v="Muffin"/>
    <x v="0"/>
    <x v="1"/>
    <n v="2"/>
    <n v="151"/>
    <n v="302"/>
  </r>
  <r>
    <d v="2025-03-04T00:00:00"/>
    <n v="2025"/>
    <x v="2"/>
    <x v="2"/>
    <x v="0"/>
    <x v="1"/>
    <s v="Muffin"/>
    <x v="1"/>
    <x v="0"/>
    <n v="2"/>
    <n v="179"/>
    <n v="358"/>
  </r>
  <r>
    <d v="2025-03-05T00:00:00"/>
    <n v="2025"/>
    <x v="2"/>
    <x v="3"/>
    <x v="3"/>
    <x v="0"/>
    <s v="Espresso"/>
    <x v="0"/>
    <x v="1"/>
    <n v="3"/>
    <n v="128"/>
    <n v="384"/>
  </r>
  <r>
    <d v="2025-03-06T00:00:00"/>
    <n v="2025"/>
    <x v="2"/>
    <x v="2"/>
    <x v="0"/>
    <x v="0"/>
    <s v="Mocha"/>
    <x v="0"/>
    <x v="1"/>
    <n v="4"/>
    <n v="203"/>
    <n v="812"/>
  </r>
  <r>
    <d v="2025-03-07T00:00:00"/>
    <n v="2025"/>
    <x v="2"/>
    <x v="3"/>
    <x v="0"/>
    <x v="1"/>
    <s v="Brownie"/>
    <x v="1"/>
    <x v="1"/>
    <n v="1"/>
    <n v="210"/>
    <n v="210"/>
  </r>
  <r>
    <d v="2025-03-08T00:00:00"/>
    <n v="2025"/>
    <x v="2"/>
    <x v="3"/>
    <x v="3"/>
    <x v="2"/>
    <s v="Green Tea"/>
    <x v="0"/>
    <x v="0"/>
    <n v="4"/>
    <n v="175"/>
    <n v="700"/>
  </r>
  <r>
    <d v="2025-03-09T00:00:00"/>
    <n v="2025"/>
    <x v="2"/>
    <x v="3"/>
    <x v="0"/>
    <x v="2"/>
    <s v="Green Tea"/>
    <x v="1"/>
    <x v="2"/>
    <n v="2"/>
    <n v="74"/>
    <n v="148"/>
  </r>
  <r>
    <d v="2025-03-10T00:00:00"/>
    <n v="2025"/>
    <x v="2"/>
    <x v="2"/>
    <x v="3"/>
    <x v="0"/>
    <s v="Mocha"/>
    <x v="1"/>
    <x v="1"/>
    <n v="6"/>
    <n v="84"/>
    <n v="504"/>
  </r>
  <r>
    <d v="2025-03-11T00:00:00"/>
    <n v="2025"/>
    <x v="2"/>
    <x v="1"/>
    <x v="4"/>
    <x v="0"/>
    <s v="Latte"/>
    <x v="0"/>
    <x v="0"/>
    <n v="5"/>
    <n v="78"/>
    <n v="390"/>
  </r>
  <r>
    <d v="2025-03-12T00:00:00"/>
    <n v="2025"/>
    <x v="2"/>
    <x v="1"/>
    <x v="3"/>
    <x v="0"/>
    <s v="Mocha"/>
    <x v="0"/>
    <x v="1"/>
    <n v="2"/>
    <n v="231"/>
    <n v="462"/>
  </r>
  <r>
    <d v="2025-03-13T00:00:00"/>
    <n v="2025"/>
    <x v="2"/>
    <x v="4"/>
    <x v="3"/>
    <x v="0"/>
    <s v="Cappuccino"/>
    <x v="1"/>
    <x v="1"/>
    <n v="3"/>
    <n v="73"/>
    <n v="219"/>
  </r>
  <r>
    <d v="2025-03-14T00:00:00"/>
    <n v="2025"/>
    <x v="2"/>
    <x v="2"/>
    <x v="0"/>
    <x v="2"/>
    <s v="Black Tea"/>
    <x v="0"/>
    <x v="2"/>
    <n v="1"/>
    <n v="61"/>
    <n v="61"/>
  </r>
  <r>
    <d v="2025-03-15T00:00:00"/>
    <n v="2025"/>
    <x v="2"/>
    <x v="2"/>
    <x v="0"/>
    <x v="1"/>
    <s v="Brownie"/>
    <x v="0"/>
    <x v="1"/>
    <n v="2"/>
    <n v="145"/>
    <n v="290"/>
  </r>
  <r>
    <d v="2025-03-16T00:00:00"/>
    <n v="2025"/>
    <x v="2"/>
    <x v="0"/>
    <x v="1"/>
    <x v="2"/>
    <s v="Masala Tea"/>
    <x v="0"/>
    <x v="0"/>
    <n v="2"/>
    <n v="68"/>
    <n v="136"/>
  </r>
  <r>
    <d v="2025-03-17T00:00:00"/>
    <n v="2025"/>
    <x v="2"/>
    <x v="4"/>
    <x v="0"/>
    <x v="0"/>
    <s v="Mocha"/>
    <x v="0"/>
    <x v="0"/>
    <n v="4"/>
    <n v="83"/>
    <n v="332"/>
  </r>
  <r>
    <d v="2025-03-18T00:00:00"/>
    <n v="2025"/>
    <x v="2"/>
    <x v="2"/>
    <x v="2"/>
    <x v="0"/>
    <s v="Espresso"/>
    <x v="0"/>
    <x v="1"/>
    <n v="1"/>
    <n v="222"/>
    <n v="222"/>
  </r>
  <r>
    <d v="2025-03-19T00:00:00"/>
    <n v="2025"/>
    <x v="2"/>
    <x v="4"/>
    <x v="3"/>
    <x v="0"/>
    <s v="Americano"/>
    <x v="1"/>
    <x v="2"/>
    <n v="4"/>
    <n v="119"/>
    <n v="476"/>
  </r>
  <r>
    <d v="2025-03-20T00:00:00"/>
    <n v="2025"/>
    <x v="2"/>
    <x v="1"/>
    <x v="1"/>
    <x v="1"/>
    <s v="Croissant"/>
    <x v="0"/>
    <x v="1"/>
    <n v="1"/>
    <n v="72"/>
    <n v="72"/>
  </r>
  <r>
    <d v="2025-03-21T00:00:00"/>
    <n v="2025"/>
    <x v="2"/>
    <x v="4"/>
    <x v="3"/>
    <x v="2"/>
    <s v="Masala Tea"/>
    <x v="1"/>
    <x v="0"/>
    <n v="2"/>
    <n v="170"/>
    <n v="340"/>
  </r>
  <r>
    <d v="2025-03-22T00:00:00"/>
    <n v="2025"/>
    <x v="2"/>
    <x v="0"/>
    <x v="3"/>
    <x v="2"/>
    <s v="Masala Tea"/>
    <x v="0"/>
    <x v="0"/>
    <n v="2"/>
    <n v="174"/>
    <n v="348"/>
  </r>
  <r>
    <d v="2025-03-23T00:00:00"/>
    <n v="2025"/>
    <x v="2"/>
    <x v="1"/>
    <x v="4"/>
    <x v="1"/>
    <s v="Croissant"/>
    <x v="1"/>
    <x v="2"/>
    <n v="6"/>
    <n v="131"/>
    <n v="786"/>
  </r>
  <r>
    <d v="2025-03-24T00:00:00"/>
    <n v="2025"/>
    <x v="2"/>
    <x v="3"/>
    <x v="3"/>
    <x v="2"/>
    <s v="Green Tea"/>
    <x v="1"/>
    <x v="2"/>
    <n v="6"/>
    <n v="113"/>
    <n v="678"/>
  </r>
  <r>
    <d v="2025-03-25T00:00:00"/>
    <n v="2025"/>
    <x v="2"/>
    <x v="0"/>
    <x v="4"/>
    <x v="0"/>
    <s v="Americano"/>
    <x v="1"/>
    <x v="0"/>
    <n v="2"/>
    <n v="107"/>
    <n v="214"/>
  </r>
  <r>
    <d v="2025-03-26T00:00:00"/>
    <n v="2025"/>
    <x v="2"/>
    <x v="4"/>
    <x v="3"/>
    <x v="0"/>
    <s v="Americano"/>
    <x v="1"/>
    <x v="0"/>
    <n v="6"/>
    <n v="124"/>
    <n v="744"/>
  </r>
  <r>
    <d v="2025-03-27T00:00:00"/>
    <n v="2025"/>
    <x v="2"/>
    <x v="3"/>
    <x v="3"/>
    <x v="0"/>
    <s v="Mocha"/>
    <x v="1"/>
    <x v="0"/>
    <n v="5"/>
    <n v="201"/>
    <n v="1005"/>
  </r>
  <r>
    <d v="2025-03-28T00:00:00"/>
    <n v="2025"/>
    <x v="2"/>
    <x v="1"/>
    <x v="1"/>
    <x v="1"/>
    <s v="Brownie"/>
    <x v="1"/>
    <x v="1"/>
    <n v="1"/>
    <n v="197"/>
    <n v="197"/>
  </r>
  <r>
    <d v="2025-03-29T00:00:00"/>
    <n v="2025"/>
    <x v="2"/>
    <x v="4"/>
    <x v="3"/>
    <x v="0"/>
    <s v="Latte"/>
    <x v="0"/>
    <x v="0"/>
    <n v="5"/>
    <n v="199"/>
    <n v="995"/>
  </r>
  <r>
    <d v="2025-03-30T00:00:00"/>
    <n v="2025"/>
    <x v="2"/>
    <x v="0"/>
    <x v="4"/>
    <x v="2"/>
    <s v="Black Tea"/>
    <x v="1"/>
    <x v="2"/>
    <n v="1"/>
    <n v="168"/>
    <n v="168"/>
  </r>
  <r>
    <d v="2025-03-31T00:00:00"/>
    <n v="2025"/>
    <x v="2"/>
    <x v="0"/>
    <x v="0"/>
    <x v="0"/>
    <s v="Mocha"/>
    <x v="0"/>
    <x v="2"/>
    <n v="4"/>
    <n v="84"/>
    <n v="336"/>
  </r>
  <r>
    <d v="2025-01-01T00:00:00"/>
    <n v="2025"/>
    <x v="0"/>
    <x v="3"/>
    <x v="4"/>
    <x v="0"/>
    <s v="Mocha"/>
    <x v="1"/>
    <x v="1"/>
    <n v="6"/>
    <n v="106"/>
    <n v="636"/>
  </r>
  <r>
    <d v="2025-01-02T00:00:00"/>
    <n v="2025"/>
    <x v="0"/>
    <x v="0"/>
    <x v="1"/>
    <x v="2"/>
    <s v="Green Tea"/>
    <x v="0"/>
    <x v="0"/>
    <n v="4"/>
    <n v="154"/>
    <n v="616"/>
  </r>
  <r>
    <d v="2025-01-03T00:00:00"/>
    <n v="2025"/>
    <x v="0"/>
    <x v="1"/>
    <x v="1"/>
    <x v="2"/>
    <s v="Masala Tea"/>
    <x v="0"/>
    <x v="2"/>
    <n v="3"/>
    <n v="72"/>
    <n v="216"/>
  </r>
  <r>
    <d v="2025-01-04T00:00:00"/>
    <n v="2025"/>
    <x v="0"/>
    <x v="2"/>
    <x v="3"/>
    <x v="2"/>
    <s v="Green Tea"/>
    <x v="0"/>
    <x v="1"/>
    <n v="4"/>
    <n v="113"/>
    <n v="452"/>
  </r>
  <r>
    <d v="2025-01-05T00:00:00"/>
    <n v="2025"/>
    <x v="0"/>
    <x v="4"/>
    <x v="3"/>
    <x v="1"/>
    <s v="Muffin"/>
    <x v="0"/>
    <x v="1"/>
    <n v="5"/>
    <n v="208"/>
    <n v="1040"/>
  </r>
  <r>
    <d v="2025-01-06T00:00:00"/>
    <n v="2025"/>
    <x v="0"/>
    <x v="2"/>
    <x v="0"/>
    <x v="0"/>
    <s v="Cappuccino"/>
    <x v="1"/>
    <x v="2"/>
    <n v="6"/>
    <n v="241"/>
    <n v="1446"/>
  </r>
  <r>
    <d v="2025-01-07T00:00:00"/>
    <n v="2025"/>
    <x v="0"/>
    <x v="0"/>
    <x v="4"/>
    <x v="2"/>
    <s v="Black Tea"/>
    <x v="1"/>
    <x v="0"/>
    <n v="5"/>
    <n v="96"/>
    <n v="480"/>
  </r>
  <r>
    <d v="2025-01-08T00:00:00"/>
    <n v="2025"/>
    <x v="0"/>
    <x v="3"/>
    <x v="4"/>
    <x v="1"/>
    <s v="Muffin"/>
    <x v="1"/>
    <x v="1"/>
    <n v="5"/>
    <n v="181"/>
    <n v="905"/>
  </r>
  <r>
    <d v="2025-01-09T00:00:00"/>
    <n v="2025"/>
    <x v="0"/>
    <x v="3"/>
    <x v="3"/>
    <x v="1"/>
    <s v="Brownie"/>
    <x v="1"/>
    <x v="2"/>
    <n v="5"/>
    <n v="102"/>
    <n v="510"/>
  </r>
  <r>
    <d v="2025-01-10T00:00:00"/>
    <n v="2025"/>
    <x v="0"/>
    <x v="1"/>
    <x v="0"/>
    <x v="0"/>
    <s v="Latte"/>
    <x v="0"/>
    <x v="1"/>
    <n v="1"/>
    <n v="115"/>
    <n v="115"/>
  </r>
  <r>
    <d v="2025-01-11T00:00:00"/>
    <n v="2025"/>
    <x v="0"/>
    <x v="4"/>
    <x v="4"/>
    <x v="0"/>
    <s v="Cappuccino"/>
    <x v="0"/>
    <x v="0"/>
    <n v="4"/>
    <n v="241"/>
    <n v="964"/>
  </r>
  <r>
    <d v="2025-01-12T00:00:00"/>
    <n v="2025"/>
    <x v="0"/>
    <x v="0"/>
    <x v="1"/>
    <x v="2"/>
    <s v="Green Tea"/>
    <x v="1"/>
    <x v="0"/>
    <n v="1"/>
    <n v="83"/>
    <n v="83"/>
  </r>
  <r>
    <d v="2025-01-13T00:00:00"/>
    <n v="2025"/>
    <x v="0"/>
    <x v="3"/>
    <x v="1"/>
    <x v="0"/>
    <s v="Latte"/>
    <x v="1"/>
    <x v="1"/>
    <n v="4"/>
    <n v="87"/>
    <n v="348"/>
  </r>
  <r>
    <d v="2025-01-14T00:00:00"/>
    <n v="2025"/>
    <x v="0"/>
    <x v="1"/>
    <x v="2"/>
    <x v="1"/>
    <s v="Croissant"/>
    <x v="1"/>
    <x v="0"/>
    <n v="5"/>
    <n v="70"/>
    <n v="350"/>
  </r>
  <r>
    <d v="2025-01-15T00:00:00"/>
    <n v="2025"/>
    <x v="0"/>
    <x v="2"/>
    <x v="2"/>
    <x v="0"/>
    <s v="Latte"/>
    <x v="1"/>
    <x v="2"/>
    <n v="5"/>
    <n v="220"/>
    <n v="1100"/>
  </r>
  <r>
    <d v="2025-01-16T00:00:00"/>
    <n v="2025"/>
    <x v="0"/>
    <x v="3"/>
    <x v="2"/>
    <x v="2"/>
    <s v="Black Tea"/>
    <x v="0"/>
    <x v="2"/>
    <n v="3"/>
    <n v="129"/>
    <n v="387"/>
  </r>
  <r>
    <d v="2025-01-17T00:00:00"/>
    <n v="2025"/>
    <x v="0"/>
    <x v="1"/>
    <x v="4"/>
    <x v="2"/>
    <s v="Green Tea"/>
    <x v="0"/>
    <x v="0"/>
    <n v="5"/>
    <n v="215"/>
    <n v="1075"/>
  </r>
  <r>
    <d v="2025-01-18T00:00:00"/>
    <n v="2025"/>
    <x v="0"/>
    <x v="1"/>
    <x v="4"/>
    <x v="0"/>
    <s v="Mocha"/>
    <x v="0"/>
    <x v="0"/>
    <n v="1"/>
    <n v="112"/>
    <n v="112"/>
  </r>
  <r>
    <d v="2025-01-19T00:00:00"/>
    <n v="2025"/>
    <x v="0"/>
    <x v="3"/>
    <x v="4"/>
    <x v="0"/>
    <s v="Cappuccino"/>
    <x v="1"/>
    <x v="2"/>
    <n v="3"/>
    <n v="225"/>
    <n v="675"/>
  </r>
  <r>
    <d v="2025-01-20T00:00:00"/>
    <n v="2025"/>
    <x v="0"/>
    <x v="2"/>
    <x v="0"/>
    <x v="1"/>
    <s v="Muffin"/>
    <x v="0"/>
    <x v="1"/>
    <n v="2"/>
    <n v="182"/>
    <n v="364"/>
  </r>
  <r>
    <d v="2025-01-21T00:00:00"/>
    <n v="2025"/>
    <x v="0"/>
    <x v="2"/>
    <x v="3"/>
    <x v="0"/>
    <s v="Americano"/>
    <x v="0"/>
    <x v="0"/>
    <n v="5"/>
    <n v="238"/>
    <n v="1190"/>
  </r>
  <r>
    <d v="2025-01-22T00:00:00"/>
    <n v="2025"/>
    <x v="0"/>
    <x v="0"/>
    <x v="3"/>
    <x v="2"/>
    <s v="Masala Tea"/>
    <x v="0"/>
    <x v="2"/>
    <n v="6"/>
    <n v="180"/>
    <n v="1080"/>
  </r>
  <r>
    <d v="2025-01-23T00:00:00"/>
    <n v="2025"/>
    <x v="0"/>
    <x v="4"/>
    <x v="1"/>
    <x v="2"/>
    <s v="Black Tea"/>
    <x v="0"/>
    <x v="2"/>
    <n v="5"/>
    <n v="65"/>
    <n v="325"/>
  </r>
  <r>
    <d v="2025-01-24T00:00:00"/>
    <n v="2025"/>
    <x v="0"/>
    <x v="4"/>
    <x v="4"/>
    <x v="0"/>
    <s v="Latte"/>
    <x v="1"/>
    <x v="2"/>
    <n v="1"/>
    <n v="180"/>
    <n v="180"/>
  </r>
  <r>
    <d v="2025-01-25T00:00:00"/>
    <n v="2025"/>
    <x v="0"/>
    <x v="1"/>
    <x v="4"/>
    <x v="2"/>
    <s v="Masala Tea"/>
    <x v="0"/>
    <x v="0"/>
    <n v="5"/>
    <n v="219"/>
    <n v="1095"/>
  </r>
  <r>
    <d v="2025-01-26T00:00:00"/>
    <n v="2025"/>
    <x v="0"/>
    <x v="4"/>
    <x v="3"/>
    <x v="0"/>
    <s v="Cappuccino"/>
    <x v="1"/>
    <x v="1"/>
    <n v="3"/>
    <n v="214"/>
    <n v="642"/>
  </r>
  <r>
    <d v="2025-01-27T00:00:00"/>
    <n v="2025"/>
    <x v="0"/>
    <x v="4"/>
    <x v="2"/>
    <x v="0"/>
    <s v="Cappuccino"/>
    <x v="1"/>
    <x v="2"/>
    <n v="5"/>
    <n v="159"/>
    <n v="795"/>
  </r>
  <r>
    <d v="2025-01-28T00:00:00"/>
    <n v="2025"/>
    <x v="0"/>
    <x v="4"/>
    <x v="1"/>
    <x v="2"/>
    <s v="Green Tea"/>
    <x v="0"/>
    <x v="2"/>
    <n v="1"/>
    <n v="125"/>
    <n v="125"/>
  </r>
  <r>
    <d v="2025-01-29T00:00:00"/>
    <n v="2025"/>
    <x v="0"/>
    <x v="4"/>
    <x v="4"/>
    <x v="1"/>
    <s v="Croissant"/>
    <x v="0"/>
    <x v="2"/>
    <n v="5"/>
    <n v="93"/>
    <n v="465"/>
  </r>
  <r>
    <d v="2025-01-30T00:00:00"/>
    <n v="2025"/>
    <x v="0"/>
    <x v="2"/>
    <x v="0"/>
    <x v="1"/>
    <s v="Croissant"/>
    <x v="1"/>
    <x v="0"/>
    <n v="1"/>
    <n v="171"/>
    <n v="171"/>
  </r>
  <r>
    <d v="2025-01-31T00:00:00"/>
    <n v="2025"/>
    <x v="0"/>
    <x v="4"/>
    <x v="1"/>
    <x v="1"/>
    <s v="Brownie"/>
    <x v="0"/>
    <x v="2"/>
    <n v="1"/>
    <n v="95"/>
    <n v="95"/>
  </r>
  <r>
    <d v="2025-02-01T00:00:00"/>
    <n v="2025"/>
    <x v="1"/>
    <x v="3"/>
    <x v="0"/>
    <x v="2"/>
    <s v="Green Tea"/>
    <x v="0"/>
    <x v="1"/>
    <n v="3"/>
    <n v="216"/>
    <n v="648"/>
  </r>
  <r>
    <d v="2025-02-02T00:00:00"/>
    <n v="2025"/>
    <x v="1"/>
    <x v="4"/>
    <x v="0"/>
    <x v="0"/>
    <s v="Americano"/>
    <x v="0"/>
    <x v="1"/>
    <n v="2"/>
    <n v="155"/>
    <n v="310"/>
  </r>
  <r>
    <d v="2025-02-03T00:00:00"/>
    <n v="2025"/>
    <x v="1"/>
    <x v="1"/>
    <x v="3"/>
    <x v="1"/>
    <s v="Brownie"/>
    <x v="0"/>
    <x v="2"/>
    <n v="1"/>
    <n v="135"/>
    <n v="135"/>
  </r>
  <r>
    <d v="2025-02-04T00:00:00"/>
    <n v="2025"/>
    <x v="1"/>
    <x v="3"/>
    <x v="2"/>
    <x v="1"/>
    <s v="Brownie"/>
    <x v="1"/>
    <x v="0"/>
    <n v="4"/>
    <n v="83"/>
    <n v="332"/>
  </r>
  <r>
    <d v="2025-02-05T00:00:00"/>
    <n v="2025"/>
    <x v="1"/>
    <x v="2"/>
    <x v="2"/>
    <x v="2"/>
    <s v="Black Tea"/>
    <x v="1"/>
    <x v="0"/>
    <n v="5"/>
    <n v="96"/>
    <n v="480"/>
  </r>
  <r>
    <d v="2025-02-06T00:00:00"/>
    <n v="2025"/>
    <x v="1"/>
    <x v="0"/>
    <x v="0"/>
    <x v="2"/>
    <s v="Black Tea"/>
    <x v="0"/>
    <x v="0"/>
    <n v="5"/>
    <n v="185"/>
    <n v="925"/>
  </r>
  <r>
    <d v="2025-02-07T00:00:00"/>
    <n v="2025"/>
    <x v="1"/>
    <x v="3"/>
    <x v="1"/>
    <x v="2"/>
    <s v="Green Tea"/>
    <x v="1"/>
    <x v="0"/>
    <n v="2"/>
    <n v="225"/>
    <n v="450"/>
  </r>
  <r>
    <d v="2025-02-08T00:00:00"/>
    <n v="2025"/>
    <x v="1"/>
    <x v="4"/>
    <x v="0"/>
    <x v="0"/>
    <s v="Espresso"/>
    <x v="0"/>
    <x v="1"/>
    <n v="2"/>
    <n v="139"/>
    <n v="278"/>
  </r>
  <r>
    <d v="2025-02-09T00:00:00"/>
    <n v="2025"/>
    <x v="1"/>
    <x v="0"/>
    <x v="0"/>
    <x v="1"/>
    <s v="Brownie"/>
    <x v="0"/>
    <x v="1"/>
    <n v="4"/>
    <n v="174"/>
    <n v="696"/>
  </r>
  <r>
    <d v="2025-02-10T00:00:00"/>
    <n v="2025"/>
    <x v="1"/>
    <x v="0"/>
    <x v="0"/>
    <x v="2"/>
    <s v="Green Tea"/>
    <x v="0"/>
    <x v="2"/>
    <n v="6"/>
    <n v="209"/>
    <n v="1254"/>
  </r>
  <r>
    <d v="2025-02-11T00:00:00"/>
    <n v="2025"/>
    <x v="1"/>
    <x v="0"/>
    <x v="1"/>
    <x v="0"/>
    <s v="Cappuccino"/>
    <x v="1"/>
    <x v="1"/>
    <n v="1"/>
    <n v="242"/>
    <n v="242"/>
  </r>
  <r>
    <d v="2025-02-12T00:00:00"/>
    <n v="2025"/>
    <x v="1"/>
    <x v="3"/>
    <x v="4"/>
    <x v="1"/>
    <s v="Brownie"/>
    <x v="1"/>
    <x v="1"/>
    <n v="4"/>
    <n v="195"/>
    <n v="780"/>
  </r>
  <r>
    <d v="2025-02-13T00:00:00"/>
    <n v="2025"/>
    <x v="1"/>
    <x v="4"/>
    <x v="3"/>
    <x v="1"/>
    <s v="Muffin"/>
    <x v="1"/>
    <x v="1"/>
    <n v="2"/>
    <n v="154"/>
    <n v="308"/>
  </r>
  <r>
    <d v="2025-02-14T00:00:00"/>
    <n v="2025"/>
    <x v="1"/>
    <x v="4"/>
    <x v="4"/>
    <x v="0"/>
    <s v="Americano"/>
    <x v="1"/>
    <x v="0"/>
    <n v="3"/>
    <n v="159"/>
    <n v="477"/>
  </r>
  <r>
    <d v="2025-02-15T00:00:00"/>
    <n v="2025"/>
    <x v="1"/>
    <x v="3"/>
    <x v="1"/>
    <x v="0"/>
    <s v="Cappuccino"/>
    <x v="0"/>
    <x v="2"/>
    <n v="2"/>
    <n v="149"/>
    <n v="298"/>
  </r>
  <r>
    <d v="2025-02-16T00:00:00"/>
    <n v="2025"/>
    <x v="1"/>
    <x v="0"/>
    <x v="1"/>
    <x v="1"/>
    <s v="Brownie"/>
    <x v="1"/>
    <x v="0"/>
    <n v="5"/>
    <n v="89"/>
    <n v="445"/>
  </r>
  <r>
    <d v="2025-02-17T00:00:00"/>
    <n v="2025"/>
    <x v="1"/>
    <x v="1"/>
    <x v="4"/>
    <x v="2"/>
    <s v="Black Tea"/>
    <x v="0"/>
    <x v="0"/>
    <n v="4"/>
    <n v="93"/>
    <n v="372"/>
  </r>
  <r>
    <d v="2025-02-18T00:00:00"/>
    <n v="2025"/>
    <x v="1"/>
    <x v="4"/>
    <x v="0"/>
    <x v="2"/>
    <s v="Green Tea"/>
    <x v="1"/>
    <x v="2"/>
    <n v="5"/>
    <n v="144"/>
    <n v="720"/>
  </r>
  <r>
    <d v="2025-02-19T00:00:00"/>
    <n v="2025"/>
    <x v="1"/>
    <x v="0"/>
    <x v="4"/>
    <x v="1"/>
    <s v="Brownie"/>
    <x v="1"/>
    <x v="0"/>
    <n v="2"/>
    <n v="98"/>
    <n v="196"/>
  </r>
  <r>
    <d v="2025-02-20T00:00:00"/>
    <n v="2025"/>
    <x v="1"/>
    <x v="2"/>
    <x v="1"/>
    <x v="0"/>
    <s v="Cappuccino"/>
    <x v="0"/>
    <x v="2"/>
    <n v="5"/>
    <n v="214"/>
    <n v="1070"/>
  </r>
  <r>
    <d v="2025-02-21T00:00:00"/>
    <n v="2025"/>
    <x v="1"/>
    <x v="0"/>
    <x v="3"/>
    <x v="1"/>
    <s v="Croissant"/>
    <x v="0"/>
    <x v="1"/>
    <n v="2"/>
    <n v="235"/>
    <n v="470"/>
  </r>
  <r>
    <d v="2025-02-22T00:00:00"/>
    <n v="2025"/>
    <x v="1"/>
    <x v="3"/>
    <x v="2"/>
    <x v="0"/>
    <s v="Latte"/>
    <x v="1"/>
    <x v="2"/>
    <n v="5"/>
    <n v="223"/>
    <n v="1115"/>
  </r>
  <r>
    <d v="2025-02-23T00:00:00"/>
    <n v="2025"/>
    <x v="1"/>
    <x v="3"/>
    <x v="0"/>
    <x v="1"/>
    <s v="Croissant"/>
    <x v="1"/>
    <x v="0"/>
    <n v="3"/>
    <n v="134"/>
    <n v="402"/>
  </r>
  <r>
    <d v="2025-02-24T00:00:00"/>
    <n v="2025"/>
    <x v="1"/>
    <x v="0"/>
    <x v="2"/>
    <x v="0"/>
    <s v="Americano"/>
    <x v="1"/>
    <x v="1"/>
    <n v="6"/>
    <n v="96"/>
    <n v="576"/>
  </r>
  <r>
    <d v="2025-02-25T00:00:00"/>
    <n v="2025"/>
    <x v="1"/>
    <x v="2"/>
    <x v="2"/>
    <x v="1"/>
    <s v="Croissant"/>
    <x v="1"/>
    <x v="1"/>
    <n v="3"/>
    <n v="74"/>
    <n v="222"/>
  </r>
  <r>
    <d v="2025-02-26T00:00:00"/>
    <n v="2025"/>
    <x v="1"/>
    <x v="1"/>
    <x v="1"/>
    <x v="1"/>
    <s v="Muffin"/>
    <x v="0"/>
    <x v="1"/>
    <n v="5"/>
    <n v="159"/>
    <n v="795"/>
  </r>
  <r>
    <d v="2025-02-27T00:00:00"/>
    <n v="2025"/>
    <x v="1"/>
    <x v="4"/>
    <x v="4"/>
    <x v="2"/>
    <s v="Black Tea"/>
    <x v="0"/>
    <x v="2"/>
    <n v="2"/>
    <n v="206"/>
    <n v="412"/>
  </r>
  <r>
    <d v="2025-02-28T00:00:00"/>
    <n v="2025"/>
    <x v="1"/>
    <x v="4"/>
    <x v="3"/>
    <x v="0"/>
    <s v="Cappuccino"/>
    <x v="0"/>
    <x v="0"/>
    <n v="3"/>
    <n v="64"/>
    <n v="192"/>
  </r>
  <r>
    <d v="2025-03-01T00:00:00"/>
    <n v="2025"/>
    <x v="2"/>
    <x v="3"/>
    <x v="4"/>
    <x v="2"/>
    <s v="Black Tea"/>
    <x v="1"/>
    <x v="1"/>
    <n v="4"/>
    <n v="118"/>
    <n v="472"/>
  </r>
  <r>
    <d v="2025-03-02T00:00:00"/>
    <n v="2025"/>
    <x v="2"/>
    <x v="0"/>
    <x v="3"/>
    <x v="2"/>
    <s v="Green Tea"/>
    <x v="1"/>
    <x v="2"/>
    <n v="2"/>
    <n v="235"/>
    <n v="470"/>
  </r>
  <r>
    <d v="2025-03-03T00:00:00"/>
    <n v="2025"/>
    <x v="2"/>
    <x v="4"/>
    <x v="0"/>
    <x v="1"/>
    <s v="Brownie"/>
    <x v="1"/>
    <x v="0"/>
    <n v="3"/>
    <n v="107"/>
    <n v="321"/>
  </r>
  <r>
    <d v="2025-03-04T00:00:00"/>
    <n v="2025"/>
    <x v="2"/>
    <x v="2"/>
    <x v="1"/>
    <x v="0"/>
    <s v="Americano"/>
    <x v="0"/>
    <x v="0"/>
    <n v="3"/>
    <n v="240"/>
    <n v="720"/>
  </r>
  <r>
    <d v="2025-03-05T00:00:00"/>
    <n v="2025"/>
    <x v="2"/>
    <x v="0"/>
    <x v="0"/>
    <x v="2"/>
    <s v="Green Tea"/>
    <x v="1"/>
    <x v="0"/>
    <n v="5"/>
    <n v="121"/>
    <n v="605"/>
  </r>
  <r>
    <d v="2025-03-06T00:00:00"/>
    <n v="2025"/>
    <x v="2"/>
    <x v="4"/>
    <x v="4"/>
    <x v="1"/>
    <s v="Brownie"/>
    <x v="0"/>
    <x v="2"/>
    <n v="4"/>
    <n v="170"/>
    <n v="680"/>
  </r>
  <r>
    <d v="2025-03-07T00:00:00"/>
    <n v="2025"/>
    <x v="2"/>
    <x v="1"/>
    <x v="0"/>
    <x v="0"/>
    <s v="Latte"/>
    <x v="1"/>
    <x v="1"/>
    <n v="6"/>
    <n v="126"/>
    <n v="756"/>
  </r>
  <r>
    <d v="2025-03-08T00:00:00"/>
    <n v="2025"/>
    <x v="2"/>
    <x v="1"/>
    <x v="4"/>
    <x v="0"/>
    <s v="Mocha"/>
    <x v="0"/>
    <x v="1"/>
    <n v="6"/>
    <n v="100"/>
    <n v="600"/>
  </r>
  <r>
    <d v="2025-03-09T00:00:00"/>
    <n v="2025"/>
    <x v="2"/>
    <x v="4"/>
    <x v="0"/>
    <x v="0"/>
    <s v="Espresso"/>
    <x v="1"/>
    <x v="0"/>
    <n v="3"/>
    <n v="67"/>
    <n v="201"/>
  </r>
  <r>
    <d v="2025-03-10T00:00:00"/>
    <n v="2025"/>
    <x v="2"/>
    <x v="2"/>
    <x v="3"/>
    <x v="1"/>
    <s v="Brownie"/>
    <x v="0"/>
    <x v="0"/>
    <n v="6"/>
    <n v="64"/>
    <n v="384"/>
  </r>
  <r>
    <d v="2025-03-11T00:00:00"/>
    <n v="2025"/>
    <x v="2"/>
    <x v="2"/>
    <x v="4"/>
    <x v="2"/>
    <s v="Black Tea"/>
    <x v="1"/>
    <x v="1"/>
    <n v="4"/>
    <n v="78"/>
    <n v="312"/>
  </r>
  <r>
    <d v="2025-03-12T00:00:00"/>
    <n v="2025"/>
    <x v="2"/>
    <x v="0"/>
    <x v="2"/>
    <x v="1"/>
    <s v="Muffin"/>
    <x v="0"/>
    <x v="0"/>
    <n v="2"/>
    <n v="142"/>
    <n v="284"/>
  </r>
  <r>
    <d v="2025-03-13T00:00:00"/>
    <n v="2025"/>
    <x v="2"/>
    <x v="0"/>
    <x v="0"/>
    <x v="0"/>
    <s v="Latte"/>
    <x v="0"/>
    <x v="1"/>
    <n v="1"/>
    <n v="139"/>
    <n v="139"/>
  </r>
  <r>
    <d v="2025-03-14T00:00:00"/>
    <n v="2025"/>
    <x v="2"/>
    <x v="2"/>
    <x v="1"/>
    <x v="2"/>
    <s v="Green Tea"/>
    <x v="0"/>
    <x v="2"/>
    <n v="5"/>
    <n v="242"/>
    <n v="1210"/>
  </r>
  <r>
    <d v="2025-03-15T00:00:00"/>
    <n v="2025"/>
    <x v="2"/>
    <x v="3"/>
    <x v="2"/>
    <x v="2"/>
    <s v="Masala Tea"/>
    <x v="1"/>
    <x v="0"/>
    <n v="1"/>
    <n v="218"/>
    <n v="218"/>
  </r>
  <r>
    <d v="2025-03-16T00:00:00"/>
    <n v="2025"/>
    <x v="2"/>
    <x v="2"/>
    <x v="3"/>
    <x v="2"/>
    <s v="Masala Tea"/>
    <x v="0"/>
    <x v="0"/>
    <n v="6"/>
    <n v="183"/>
    <n v="1098"/>
  </r>
  <r>
    <d v="2025-03-17T00:00:00"/>
    <n v="2025"/>
    <x v="2"/>
    <x v="4"/>
    <x v="3"/>
    <x v="2"/>
    <s v="Masala Tea"/>
    <x v="0"/>
    <x v="0"/>
    <n v="1"/>
    <n v="158"/>
    <n v="158"/>
  </r>
  <r>
    <d v="2025-03-18T00:00:00"/>
    <n v="2025"/>
    <x v="2"/>
    <x v="0"/>
    <x v="3"/>
    <x v="2"/>
    <s v="Green Tea"/>
    <x v="0"/>
    <x v="0"/>
    <n v="4"/>
    <n v="223"/>
    <n v="892"/>
  </r>
  <r>
    <d v="2025-03-19T00:00:00"/>
    <n v="2025"/>
    <x v="2"/>
    <x v="2"/>
    <x v="0"/>
    <x v="0"/>
    <s v="Cappuccino"/>
    <x v="0"/>
    <x v="2"/>
    <n v="3"/>
    <n v="206"/>
    <n v="618"/>
  </r>
  <r>
    <d v="2025-03-20T00:00:00"/>
    <n v="2025"/>
    <x v="2"/>
    <x v="1"/>
    <x v="1"/>
    <x v="0"/>
    <s v="Espresso"/>
    <x v="0"/>
    <x v="1"/>
    <n v="2"/>
    <n v="179"/>
    <n v="358"/>
  </r>
  <r>
    <d v="2025-03-21T00:00:00"/>
    <n v="2025"/>
    <x v="2"/>
    <x v="0"/>
    <x v="1"/>
    <x v="1"/>
    <s v="Muffin"/>
    <x v="0"/>
    <x v="1"/>
    <n v="2"/>
    <n v="124"/>
    <n v="248"/>
  </r>
  <r>
    <d v="2025-03-22T00:00:00"/>
    <n v="2025"/>
    <x v="2"/>
    <x v="3"/>
    <x v="2"/>
    <x v="2"/>
    <s v="Black Tea"/>
    <x v="0"/>
    <x v="0"/>
    <n v="6"/>
    <n v="103"/>
    <n v="618"/>
  </r>
  <r>
    <d v="2025-03-23T00:00:00"/>
    <n v="2025"/>
    <x v="2"/>
    <x v="4"/>
    <x v="0"/>
    <x v="2"/>
    <s v="Black Tea"/>
    <x v="0"/>
    <x v="0"/>
    <n v="5"/>
    <n v="142"/>
    <n v="710"/>
  </r>
  <r>
    <d v="2025-03-24T00:00:00"/>
    <n v="2025"/>
    <x v="2"/>
    <x v="2"/>
    <x v="3"/>
    <x v="0"/>
    <s v="Americano"/>
    <x v="0"/>
    <x v="0"/>
    <n v="2"/>
    <n v="234"/>
    <n v="468"/>
  </r>
  <r>
    <d v="2025-03-25T00:00:00"/>
    <n v="2025"/>
    <x v="2"/>
    <x v="2"/>
    <x v="4"/>
    <x v="2"/>
    <s v="Masala Tea"/>
    <x v="1"/>
    <x v="1"/>
    <n v="3"/>
    <n v="223"/>
    <n v="669"/>
  </r>
  <r>
    <d v="2025-03-26T00:00:00"/>
    <n v="2025"/>
    <x v="2"/>
    <x v="1"/>
    <x v="3"/>
    <x v="2"/>
    <s v="Black Tea"/>
    <x v="1"/>
    <x v="0"/>
    <n v="5"/>
    <n v="93"/>
    <n v="465"/>
  </r>
  <r>
    <d v="2025-03-27T00:00:00"/>
    <n v="2025"/>
    <x v="2"/>
    <x v="3"/>
    <x v="2"/>
    <x v="2"/>
    <s v="Masala Tea"/>
    <x v="1"/>
    <x v="2"/>
    <n v="4"/>
    <n v="239"/>
    <n v="956"/>
  </r>
  <r>
    <d v="2025-03-28T00:00:00"/>
    <n v="2025"/>
    <x v="2"/>
    <x v="4"/>
    <x v="3"/>
    <x v="2"/>
    <s v="Masala Tea"/>
    <x v="0"/>
    <x v="0"/>
    <n v="1"/>
    <n v="164"/>
    <n v="164"/>
  </r>
  <r>
    <d v="2025-03-29T00:00:00"/>
    <n v="2025"/>
    <x v="2"/>
    <x v="2"/>
    <x v="2"/>
    <x v="2"/>
    <s v="Green Tea"/>
    <x v="0"/>
    <x v="1"/>
    <n v="3"/>
    <n v="235"/>
    <n v="705"/>
  </r>
  <r>
    <d v="2025-03-30T00:00:00"/>
    <n v="2025"/>
    <x v="2"/>
    <x v="0"/>
    <x v="0"/>
    <x v="2"/>
    <s v="Green Tea"/>
    <x v="0"/>
    <x v="0"/>
    <n v="2"/>
    <n v="143"/>
    <n v="286"/>
  </r>
  <r>
    <d v="2025-03-31T00:00:00"/>
    <n v="2025"/>
    <x v="2"/>
    <x v="2"/>
    <x v="4"/>
    <x v="2"/>
    <s v="Masala Tea"/>
    <x v="0"/>
    <x v="1"/>
    <n v="3"/>
    <n v="250"/>
    <n v="750"/>
  </r>
  <r>
    <d v="2025-01-01T00:00:00"/>
    <n v="2025"/>
    <x v="0"/>
    <x v="3"/>
    <x v="3"/>
    <x v="1"/>
    <s v="Croissant"/>
    <x v="1"/>
    <x v="0"/>
    <n v="5"/>
    <n v="108"/>
    <n v="540"/>
  </r>
  <r>
    <d v="2025-01-02T00:00:00"/>
    <n v="2025"/>
    <x v="0"/>
    <x v="1"/>
    <x v="1"/>
    <x v="1"/>
    <s v="Muffin"/>
    <x v="0"/>
    <x v="0"/>
    <n v="6"/>
    <n v="69"/>
    <n v="414"/>
  </r>
  <r>
    <d v="2025-01-03T00:00:00"/>
    <n v="2025"/>
    <x v="0"/>
    <x v="4"/>
    <x v="3"/>
    <x v="2"/>
    <s v="Masala Tea"/>
    <x v="0"/>
    <x v="1"/>
    <n v="6"/>
    <n v="235"/>
    <n v="1410"/>
  </r>
  <r>
    <d v="2025-01-04T00:00:00"/>
    <n v="2025"/>
    <x v="0"/>
    <x v="2"/>
    <x v="3"/>
    <x v="2"/>
    <s v="Green Tea"/>
    <x v="1"/>
    <x v="1"/>
    <n v="2"/>
    <n v="113"/>
    <n v="226"/>
  </r>
  <r>
    <d v="2025-01-05T00:00:00"/>
    <n v="2025"/>
    <x v="0"/>
    <x v="2"/>
    <x v="0"/>
    <x v="1"/>
    <s v="Croissant"/>
    <x v="1"/>
    <x v="2"/>
    <n v="1"/>
    <n v="212"/>
    <n v="212"/>
  </r>
  <r>
    <d v="2025-01-06T00:00:00"/>
    <n v="2025"/>
    <x v="0"/>
    <x v="1"/>
    <x v="4"/>
    <x v="2"/>
    <s v="Green Tea"/>
    <x v="0"/>
    <x v="2"/>
    <n v="2"/>
    <n v="219"/>
    <n v="438"/>
  </r>
  <r>
    <d v="2025-01-07T00:00:00"/>
    <n v="2025"/>
    <x v="0"/>
    <x v="1"/>
    <x v="3"/>
    <x v="0"/>
    <s v="Espresso"/>
    <x v="0"/>
    <x v="1"/>
    <n v="4"/>
    <n v="91"/>
    <n v="364"/>
  </r>
  <r>
    <d v="2025-01-08T00:00:00"/>
    <n v="2025"/>
    <x v="0"/>
    <x v="2"/>
    <x v="0"/>
    <x v="2"/>
    <s v="Masala Tea"/>
    <x v="0"/>
    <x v="0"/>
    <n v="2"/>
    <n v="72"/>
    <n v="144"/>
  </r>
  <r>
    <d v="2025-01-09T00:00:00"/>
    <n v="2025"/>
    <x v="0"/>
    <x v="2"/>
    <x v="3"/>
    <x v="0"/>
    <s v="Latte"/>
    <x v="0"/>
    <x v="1"/>
    <n v="6"/>
    <n v="147"/>
    <n v="882"/>
  </r>
  <r>
    <d v="2025-01-10T00:00:00"/>
    <n v="2025"/>
    <x v="0"/>
    <x v="0"/>
    <x v="3"/>
    <x v="1"/>
    <s v="Croissant"/>
    <x v="0"/>
    <x v="0"/>
    <n v="3"/>
    <n v="127"/>
    <n v="381"/>
  </r>
  <r>
    <d v="2025-01-11T00:00:00"/>
    <n v="2025"/>
    <x v="0"/>
    <x v="0"/>
    <x v="1"/>
    <x v="2"/>
    <s v="Masala Tea"/>
    <x v="0"/>
    <x v="0"/>
    <n v="3"/>
    <n v="130"/>
    <n v="390"/>
  </r>
  <r>
    <d v="2025-01-12T00:00:00"/>
    <n v="2025"/>
    <x v="0"/>
    <x v="2"/>
    <x v="2"/>
    <x v="2"/>
    <s v="Masala Tea"/>
    <x v="1"/>
    <x v="1"/>
    <n v="3"/>
    <n v="104"/>
    <n v="312"/>
  </r>
  <r>
    <d v="2025-01-13T00:00:00"/>
    <n v="2025"/>
    <x v="0"/>
    <x v="3"/>
    <x v="0"/>
    <x v="2"/>
    <s v="Masala Tea"/>
    <x v="0"/>
    <x v="2"/>
    <n v="1"/>
    <n v="69"/>
    <n v="69"/>
  </r>
  <r>
    <d v="2025-01-14T00:00:00"/>
    <n v="2025"/>
    <x v="0"/>
    <x v="0"/>
    <x v="2"/>
    <x v="1"/>
    <s v="Muffin"/>
    <x v="1"/>
    <x v="2"/>
    <n v="1"/>
    <n v="234"/>
    <n v="234"/>
  </r>
  <r>
    <d v="2025-01-15T00:00:00"/>
    <n v="2025"/>
    <x v="0"/>
    <x v="1"/>
    <x v="0"/>
    <x v="0"/>
    <s v="Latte"/>
    <x v="0"/>
    <x v="0"/>
    <n v="6"/>
    <n v="147"/>
    <n v="882"/>
  </r>
  <r>
    <d v="2025-01-16T00:00:00"/>
    <n v="2025"/>
    <x v="0"/>
    <x v="4"/>
    <x v="0"/>
    <x v="0"/>
    <s v="Mocha"/>
    <x v="0"/>
    <x v="0"/>
    <n v="2"/>
    <n v="180"/>
    <n v="360"/>
  </r>
  <r>
    <d v="2025-01-17T00:00:00"/>
    <n v="2025"/>
    <x v="0"/>
    <x v="1"/>
    <x v="4"/>
    <x v="2"/>
    <s v="Black Tea"/>
    <x v="1"/>
    <x v="0"/>
    <n v="2"/>
    <n v="215"/>
    <n v="430"/>
  </r>
  <r>
    <d v="2025-01-18T00:00:00"/>
    <n v="2025"/>
    <x v="0"/>
    <x v="3"/>
    <x v="1"/>
    <x v="1"/>
    <s v="Brownie"/>
    <x v="0"/>
    <x v="0"/>
    <n v="6"/>
    <n v="224"/>
    <n v="1344"/>
  </r>
  <r>
    <d v="2025-01-19T00:00:00"/>
    <n v="2025"/>
    <x v="0"/>
    <x v="2"/>
    <x v="1"/>
    <x v="2"/>
    <s v="Black Tea"/>
    <x v="1"/>
    <x v="1"/>
    <n v="5"/>
    <n v="218"/>
    <n v="1090"/>
  </r>
  <r>
    <d v="2025-01-20T00:00:00"/>
    <n v="2025"/>
    <x v="0"/>
    <x v="4"/>
    <x v="1"/>
    <x v="1"/>
    <s v="Croissant"/>
    <x v="0"/>
    <x v="1"/>
    <n v="1"/>
    <n v="104"/>
    <n v="104"/>
  </r>
  <r>
    <d v="2025-01-21T00:00:00"/>
    <n v="2025"/>
    <x v="0"/>
    <x v="1"/>
    <x v="3"/>
    <x v="0"/>
    <s v="Espresso"/>
    <x v="1"/>
    <x v="1"/>
    <n v="6"/>
    <n v="176"/>
    <n v="1056"/>
  </r>
  <r>
    <d v="2025-01-22T00:00:00"/>
    <n v="2025"/>
    <x v="0"/>
    <x v="1"/>
    <x v="3"/>
    <x v="1"/>
    <s v="Brownie"/>
    <x v="1"/>
    <x v="2"/>
    <n v="5"/>
    <n v="213"/>
    <n v="1065"/>
  </r>
  <r>
    <d v="2025-01-23T00:00:00"/>
    <n v="2025"/>
    <x v="0"/>
    <x v="2"/>
    <x v="1"/>
    <x v="1"/>
    <s v="Brownie"/>
    <x v="0"/>
    <x v="1"/>
    <n v="4"/>
    <n v="156"/>
    <n v="624"/>
  </r>
  <r>
    <d v="2025-01-24T00:00:00"/>
    <n v="2025"/>
    <x v="0"/>
    <x v="4"/>
    <x v="4"/>
    <x v="1"/>
    <s v="Croissant"/>
    <x v="0"/>
    <x v="2"/>
    <n v="1"/>
    <n v="230"/>
    <n v="230"/>
  </r>
  <r>
    <d v="2025-01-25T00:00:00"/>
    <n v="2025"/>
    <x v="0"/>
    <x v="3"/>
    <x v="4"/>
    <x v="0"/>
    <s v="Espresso"/>
    <x v="0"/>
    <x v="1"/>
    <n v="1"/>
    <n v="162"/>
    <n v="162"/>
  </r>
  <r>
    <d v="2025-01-26T00:00:00"/>
    <n v="2025"/>
    <x v="0"/>
    <x v="2"/>
    <x v="3"/>
    <x v="0"/>
    <s v="Latte"/>
    <x v="0"/>
    <x v="2"/>
    <n v="1"/>
    <n v="98"/>
    <n v="98"/>
  </r>
  <r>
    <d v="2025-01-27T00:00:00"/>
    <n v="2025"/>
    <x v="0"/>
    <x v="1"/>
    <x v="4"/>
    <x v="0"/>
    <s v="Cappuccino"/>
    <x v="0"/>
    <x v="2"/>
    <n v="6"/>
    <n v="186"/>
    <n v="1116"/>
  </r>
  <r>
    <d v="2025-01-28T00:00:00"/>
    <n v="2025"/>
    <x v="0"/>
    <x v="1"/>
    <x v="4"/>
    <x v="2"/>
    <s v="Masala Tea"/>
    <x v="0"/>
    <x v="1"/>
    <n v="3"/>
    <n v="97"/>
    <n v="291"/>
  </r>
  <r>
    <d v="2025-01-29T00:00:00"/>
    <n v="2025"/>
    <x v="0"/>
    <x v="1"/>
    <x v="3"/>
    <x v="0"/>
    <s v="Cappuccino"/>
    <x v="0"/>
    <x v="1"/>
    <n v="4"/>
    <n v="84"/>
    <n v="336"/>
  </r>
  <r>
    <d v="2025-01-30T00:00:00"/>
    <n v="2025"/>
    <x v="0"/>
    <x v="1"/>
    <x v="2"/>
    <x v="1"/>
    <s v="Croissant"/>
    <x v="0"/>
    <x v="2"/>
    <n v="4"/>
    <n v="75"/>
    <n v="300"/>
  </r>
  <r>
    <d v="2025-01-31T00:00:00"/>
    <n v="2025"/>
    <x v="0"/>
    <x v="2"/>
    <x v="1"/>
    <x v="0"/>
    <s v="Cappuccino"/>
    <x v="0"/>
    <x v="2"/>
    <n v="6"/>
    <n v="196"/>
    <n v="1176"/>
  </r>
  <r>
    <d v="2025-02-01T00:00:00"/>
    <n v="2025"/>
    <x v="1"/>
    <x v="3"/>
    <x v="0"/>
    <x v="1"/>
    <s v="Muffin"/>
    <x v="1"/>
    <x v="1"/>
    <n v="1"/>
    <n v="215"/>
    <n v="215"/>
  </r>
  <r>
    <d v="2025-02-02T00:00:00"/>
    <n v="2025"/>
    <x v="1"/>
    <x v="2"/>
    <x v="3"/>
    <x v="2"/>
    <s v="Black Tea"/>
    <x v="1"/>
    <x v="0"/>
    <n v="2"/>
    <n v="181"/>
    <n v="362"/>
  </r>
  <r>
    <d v="2025-02-03T00:00:00"/>
    <n v="2025"/>
    <x v="1"/>
    <x v="4"/>
    <x v="3"/>
    <x v="0"/>
    <s v="Latte"/>
    <x v="0"/>
    <x v="1"/>
    <n v="6"/>
    <n v="100"/>
    <n v="600"/>
  </r>
  <r>
    <d v="2025-02-04T00:00:00"/>
    <n v="2025"/>
    <x v="1"/>
    <x v="4"/>
    <x v="3"/>
    <x v="1"/>
    <s v="Brownie"/>
    <x v="1"/>
    <x v="0"/>
    <n v="6"/>
    <n v="60"/>
    <n v="360"/>
  </r>
  <r>
    <d v="2025-02-05T00:00:00"/>
    <n v="2025"/>
    <x v="1"/>
    <x v="1"/>
    <x v="4"/>
    <x v="1"/>
    <s v="Brownie"/>
    <x v="0"/>
    <x v="0"/>
    <n v="6"/>
    <n v="90"/>
    <n v="540"/>
  </r>
  <r>
    <d v="2025-02-06T00:00:00"/>
    <n v="2025"/>
    <x v="1"/>
    <x v="3"/>
    <x v="2"/>
    <x v="1"/>
    <s v="Brownie"/>
    <x v="0"/>
    <x v="2"/>
    <n v="1"/>
    <n v="159"/>
    <n v="159"/>
  </r>
  <r>
    <d v="2025-02-07T00:00:00"/>
    <n v="2025"/>
    <x v="1"/>
    <x v="4"/>
    <x v="1"/>
    <x v="0"/>
    <s v="Espresso"/>
    <x v="1"/>
    <x v="2"/>
    <n v="1"/>
    <n v="71"/>
    <n v="71"/>
  </r>
  <r>
    <d v="2025-02-08T00:00:00"/>
    <n v="2025"/>
    <x v="1"/>
    <x v="4"/>
    <x v="0"/>
    <x v="0"/>
    <s v="Americano"/>
    <x v="0"/>
    <x v="1"/>
    <n v="5"/>
    <n v="144"/>
    <n v="720"/>
  </r>
  <r>
    <d v="2025-02-09T00:00:00"/>
    <n v="2025"/>
    <x v="1"/>
    <x v="1"/>
    <x v="1"/>
    <x v="1"/>
    <s v="Croissant"/>
    <x v="1"/>
    <x v="2"/>
    <n v="6"/>
    <n v="187"/>
    <n v="1122"/>
  </r>
  <r>
    <d v="2025-02-10T00:00:00"/>
    <n v="2025"/>
    <x v="1"/>
    <x v="2"/>
    <x v="1"/>
    <x v="1"/>
    <s v="Muffin"/>
    <x v="0"/>
    <x v="1"/>
    <n v="6"/>
    <n v="98"/>
    <n v="588"/>
  </r>
  <r>
    <d v="2025-02-11T00:00:00"/>
    <n v="2025"/>
    <x v="1"/>
    <x v="3"/>
    <x v="1"/>
    <x v="0"/>
    <s v="Latte"/>
    <x v="0"/>
    <x v="0"/>
    <n v="1"/>
    <n v="126"/>
    <n v="126"/>
  </r>
  <r>
    <d v="2025-02-12T00:00:00"/>
    <n v="2025"/>
    <x v="1"/>
    <x v="1"/>
    <x v="0"/>
    <x v="1"/>
    <s v="Muffin"/>
    <x v="1"/>
    <x v="1"/>
    <n v="2"/>
    <n v="139"/>
    <n v="278"/>
  </r>
  <r>
    <d v="2025-02-13T00:00:00"/>
    <n v="2025"/>
    <x v="1"/>
    <x v="0"/>
    <x v="4"/>
    <x v="1"/>
    <s v="Croissant"/>
    <x v="1"/>
    <x v="0"/>
    <n v="6"/>
    <n v="160"/>
    <n v="960"/>
  </r>
  <r>
    <d v="2025-02-14T00:00:00"/>
    <n v="2025"/>
    <x v="1"/>
    <x v="4"/>
    <x v="2"/>
    <x v="2"/>
    <s v="Masala Tea"/>
    <x v="0"/>
    <x v="2"/>
    <n v="4"/>
    <n v="113"/>
    <n v="452"/>
  </r>
  <r>
    <d v="2025-02-15T00:00:00"/>
    <n v="2025"/>
    <x v="1"/>
    <x v="3"/>
    <x v="0"/>
    <x v="1"/>
    <s v="Muffin"/>
    <x v="0"/>
    <x v="2"/>
    <n v="3"/>
    <n v="157"/>
    <n v="471"/>
  </r>
  <r>
    <d v="2025-02-16T00:00:00"/>
    <n v="2025"/>
    <x v="1"/>
    <x v="2"/>
    <x v="3"/>
    <x v="2"/>
    <s v="Masala Tea"/>
    <x v="0"/>
    <x v="1"/>
    <n v="6"/>
    <n v="149"/>
    <n v="894"/>
  </r>
  <r>
    <d v="2025-02-17T00:00:00"/>
    <n v="2025"/>
    <x v="1"/>
    <x v="4"/>
    <x v="1"/>
    <x v="0"/>
    <s v="Cappuccino"/>
    <x v="1"/>
    <x v="1"/>
    <n v="6"/>
    <n v="197"/>
    <n v="1182"/>
  </r>
  <r>
    <d v="2025-02-18T00:00:00"/>
    <n v="2025"/>
    <x v="1"/>
    <x v="0"/>
    <x v="2"/>
    <x v="2"/>
    <s v="Green Tea"/>
    <x v="0"/>
    <x v="2"/>
    <n v="5"/>
    <n v="67"/>
    <n v="335"/>
  </r>
  <r>
    <d v="2025-02-19T00:00:00"/>
    <n v="2025"/>
    <x v="1"/>
    <x v="1"/>
    <x v="3"/>
    <x v="1"/>
    <s v="Muffin"/>
    <x v="1"/>
    <x v="1"/>
    <n v="1"/>
    <n v="199"/>
    <n v="199"/>
  </r>
  <r>
    <d v="2025-02-20T00:00:00"/>
    <n v="2025"/>
    <x v="1"/>
    <x v="2"/>
    <x v="3"/>
    <x v="2"/>
    <s v="Green Tea"/>
    <x v="0"/>
    <x v="0"/>
    <n v="3"/>
    <n v="74"/>
    <n v="222"/>
  </r>
  <r>
    <d v="2025-02-21T00:00:00"/>
    <n v="2025"/>
    <x v="1"/>
    <x v="1"/>
    <x v="4"/>
    <x v="1"/>
    <s v="Croissant"/>
    <x v="0"/>
    <x v="1"/>
    <n v="5"/>
    <n v="177"/>
    <n v="885"/>
  </r>
  <r>
    <d v="2025-02-22T00:00:00"/>
    <n v="2025"/>
    <x v="1"/>
    <x v="4"/>
    <x v="1"/>
    <x v="0"/>
    <s v="Americano"/>
    <x v="0"/>
    <x v="2"/>
    <n v="5"/>
    <n v="172"/>
    <n v="860"/>
  </r>
  <r>
    <d v="2025-02-23T00:00:00"/>
    <n v="2025"/>
    <x v="1"/>
    <x v="3"/>
    <x v="2"/>
    <x v="0"/>
    <s v="Espresso"/>
    <x v="1"/>
    <x v="2"/>
    <n v="6"/>
    <n v="199"/>
    <n v="1194"/>
  </r>
  <r>
    <d v="2025-02-24T00:00:00"/>
    <n v="2025"/>
    <x v="1"/>
    <x v="0"/>
    <x v="3"/>
    <x v="0"/>
    <s v="Latte"/>
    <x v="0"/>
    <x v="2"/>
    <n v="1"/>
    <n v="93"/>
    <n v="93"/>
  </r>
  <r>
    <d v="2025-02-25T00:00:00"/>
    <n v="2025"/>
    <x v="1"/>
    <x v="3"/>
    <x v="4"/>
    <x v="2"/>
    <s v="Masala Tea"/>
    <x v="0"/>
    <x v="1"/>
    <n v="6"/>
    <n v="234"/>
    <n v="1404"/>
  </r>
  <r>
    <d v="2025-02-26T00:00:00"/>
    <n v="2025"/>
    <x v="1"/>
    <x v="4"/>
    <x v="0"/>
    <x v="0"/>
    <s v="Mocha"/>
    <x v="1"/>
    <x v="1"/>
    <n v="2"/>
    <n v="230"/>
    <n v="460"/>
  </r>
  <r>
    <d v="2025-02-27T00:00:00"/>
    <n v="2025"/>
    <x v="1"/>
    <x v="1"/>
    <x v="4"/>
    <x v="2"/>
    <s v="Black Tea"/>
    <x v="0"/>
    <x v="1"/>
    <n v="3"/>
    <n v="211"/>
    <n v="633"/>
  </r>
  <r>
    <d v="2025-02-28T00:00:00"/>
    <n v="2025"/>
    <x v="1"/>
    <x v="1"/>
    <x v="1"/>
    <x v="2"/>
    <s v="Black Tea"/>
    <x v="1"/>
    <x v="2"/>
    <n v="5"/>
    <n v="61"/>
    <n v="305"/>
  </r>
  <r>
    <d v="2025-03-01T00:00:00"/>
    <n v="2025"/>
    <x v="2"/>
    <x v="3"/>
    <x v="0"/>
    <x v="2"/>
    <s v="Black Tea"/>
    <x v="0"/>
    <x v="1"/>
    <n v="3"/>
    <n v="237"/>
    <n v="711"/>
  </r>
  <r>
    <d v="2025-03-02T00:00:00"/>
    <n v="2025"/>
    <x v="2"/>
    <x v="4"/>
    <x v="2"/>
    <x v="1"/>
    <s v="Croissant"/>
    <x v="0"/>
    <x v="1"/>
    <n v="2"/>
    <n v="110"/>
    <n v="220"/>
  </r>
  <r>
    <d v="2025-03-03T00:00:00"/>
    <n v="2025"/>
    <x v="2"/>
    <x v="4"/>
    <x v="1"/>
    <x v="0"/>
    <s v="Espresso"/>
    <x v="0"/>
    <x v="1"/>
    <n v="1"/>
    <n v="115"/>
    <n v="115"/>
  </r>
  <r>
    <d v="2025-03-04T00:00:00"/>
    <n v="2025"/>
    <x v="2"/>
    <x v="2"/>
    <x v="3"/>
    <x v="2"/>
    <s v="Green Tea"/>
    <x v="0"/>
    <x v="2"/>
    <n v="1"/>
    <n v="211"/>
    <n v="211"/>
  </r>
  <r>
    <d v="2025-03-05T00:00:00"/>
    <n v="2025"/>
    <x v="2"/>
    <x v="1"/>
    <x v="4"/>
    <x v="0"/>
    <s v="Americano"/>
    <x v="0"/>
    <x v="1"/>
    <n v="1"/>
    <n v="82"/>
    <n v="82"/>
  </r>
  <r>
    <d v="2025-03-06T00:00:00"/>
    <n v="2025"/>
    <x v="2"/>
    <x v="4"/>
    <x v="2"/>
    <x v="1"/>
    <s v="Croissant"/>
    <x v="0"/>
    <x v="0"/>
    <n v="2"/>
    <n v="177"/>
    <n v="354"/>
  </r>
  <r>
    <d v="2025-03-07T00:00:00"/>
    <n v="2025"/>
    <x v="2"/>
    <x v="0"/>
    <x v="1"/>
    <x v="2"/>
    <s v="Black Tea"/>
    <x v="0"/>
    <x v="2"/>
    <n v="6"/>
    <n v="208"/>
    <n v="1248"/>
  </r>
  <r>
    <d v="2025-03-08T00:00:00"/>
    <n v="2025"/>
    <x v="2"/>
    <x v="1"/>
    <x v="1"/>
    <x v="1"/>
    <s v="Brownie"/>
    <x v="1"/>
    <x v="1"/>
    <n v="1"/>
    <n v="102"/>
    <n v="102"/>
  </r>
  <r>
    <d v="2025-03-09T00:00:00"/>
    <n v="2025"/>
    <x v="2"/>
    <x v="1"/>
    <x v="0"/>
    <x v="0"/>
    <s v="Cappuccino"/>
    <x v="0"/>
    <x v="0"/>
    <n v="1"/>
    <n v="124"/>
    <n v="124"/>
  </r>
  <r>
    <d v="2025-03-10T00:00:00"/>
    <n v="2025"/>
    <x v="2"/>
    <x v="2"/>
    <x v="2"/>
    <x v="2"/>
    <s v="Masala Tea"/>
    <x v="0"/>
    <x v="0"/>
    <n v="6"/>
    <n v="172"/>
    <n v="1032"/>
  </r>
  <r>
    <d v="2025-03-11T00:00:00"/>
    <n v="2025"/>
    <x v="2"/>
    <x v="1"/>
    <x v="3"/>
    <x v="0"/>
    <s v="Mocha"/>
    <x v="1"/>
    <x v="0"/>
    <n v="6"/>
    <n v="62"/>
    <n v="372"/>
  </r>
  <r>
    <d v="2025-03-12T00:00:00"/>
    <n v="2025"/>
    <x v="2"/>
    <x v="4"/>
    <x v="3"/>
    <x v="0"/>
    <s v="Americano"/>
    <x v="1"/>
    <x v="0"/>
    <n v="1"/>
    <n v="225"/>
    <n v="225"/>
  </r>
  <r>
    <d v="2025-03-13T00:00:00"/>
    <n v="2025"/>
    <x v="2"/>
    <x v="4"/>
    <x v="2"/>
    <x v="0"/>
    <s v="Mocha"/>
    <x v="1"/>
    <x v="2"/>
    <n v="6"/>
    <n v="68"/>
    <n v="408"/>
  </r>
  <r>
    <d v="2025-03-14T00:00:00"/>
    <n v="2025"/>
    <x v="2"/>
    <x v="0"/>
    <x v="1"/>
    <x v="0"/>
    <s v="Espresso"/>
    <x v="0"/>
    <x v="2"/>
    <n v="4"/>
    <n v="201"/>
    <n v="804"/>
  </r>
  <r>
    <d v="2025-03-15T00:00:00"/>
    <n v="2025"/>
    <x v="2"/>
    <x v="3"/>
    <x v="0"/>
    <x v="0"/>
    <s v="Americano"/>
    <x v="0"/>
    <x v="0"/>
    <n v="6"/>
    <n v="115"/>
    <n v="690"/>
  </r>
  <r>
    <d v="2025-03-16T00:00:00"/>
    <n v="2025"/>
    <x v="2"/>
    <x v="1"/>
    <x v="1"/>
    <x v="2"/>
    <s v="Green Tea"/>
    <x v="0"/>
    <x v="2"/>
    <n v="5"/>
    <n v="176"/>
    <n v="880"/>
  </r>
  <r>
    <d v="2025-03-17T00:00:00"/>
    <n v="2025"/>
    <x v="2"/>
    <x v="0"/>
    <x v="0"/>
    <x v="1"/>
    <s v="Muffin"/>
    <x v="1"/>
    <x v="1"/>
    <n v="1"/>
    <n v="149"/>
    <n v="149"/>
  </r>
  <r>
    <d v="2025-03-18T00:00:00"/>
    <n v="2025"/>
    <x v="2"/>
    <x v="1"/>
    <x v="2"/>
    <x v="0"/>
    <s v="Mocha"/>
    <x v="1"/>
    <x v="2"/>
    <n v="4"/>
    <n v="64"/>
    <n v="256"/>
  </r>
  <r>
    <d v="2025-03-19T00:00:00"/>
    <n v="2025"/>
    <x v="2"/>
    <x v="1"/>
    <x v="1"/>
    <x v="1"/>
    <s v="Brownie"/>
    <x v="1"/>
    <x v="2"/>
    <n v="4"/>
    <n v="176"/>
    <n v="704"/>
  </r>
  <r>
    <d v="2025-03-20T00:00:00"/>
    <n v="2025"/>
    <x v="2"/>
    <x v="4"/>
    <x v="0"/>
    <x v="2"/>
    <s v="Masala Tea"/>
    <x v="1"/>
    <x v="0"/>
    <n v="2"/>
    <n v="243"/>
    <n v="486"/>
  </r>
  <r>
    <d v="2025-03-21T00:00:00"/>
    <n v="2025"/>
    <x v="2"/>
    <x v="1"/>
    <x v="0"/>
    <x v="2"/>
    <s v="Black Tea"/>
    <x v="0"/>
    <x v="0"/>
    <n v="6"/>
    <n v="86"/>
    <n v="516"/>
  </r>
  <r>
    <d v="2025-03-22T00:00:00"/>
    <n v="2025"/>
    <x v="2"/>
    <x v="4"/>
    <x v="0"/>
    <x v="2"/>
    <s v="Green Tea"/>
    <x v="0"/>
    <x v="2"/>
    <n v="4"/>
    <n v="164"/>
    <n v="656"/>
  </r>
  <r>
    <d v="2025-03-23T00:00:00"/>
    <n v="2025"/>
    <x v="2"/>
    <x v="0"/>
    <x v="4"/>
    <x v="0"/>
    <s v="Mocha"/>
    <x v="0"/>
    <x v="1"/>
    <n v="3"/>
    <n v="237"/>
    <n v="711"/>
  </r>
  <r>
    <d v="2025-03-24T00:00:00"/>
    <n v="2025"/>
    <x v="2"/>
    <x v="2"/>
    <x v="0"/>
    <x v="2"/>
    <s v="Black Tea"/>
    <x v="0"/>
    <x v="0"/>
    <n v="2"/>
    <n v="155"/>
    <n v="310"/>
  </r>
  <r>
    <d v="2025-03-25T00:00:00"/>
    <n v="2025"/>
    <x v="2"/>
    <x v="4"/>
    <x v="2"/>
    <x v="2"/>
    <s v="Green Tea"/>
    <x v="1"/>
    <x v="0"/>
    <n v="2"/>
    <n v="227"/>
    <n v="454"/>
  </r>
  <r>
    <d v="2025-03-26T00:00:00"/>
    <n v="2025"/>
    <x v="2"/>
    <x v="2"/>
    <x v="2"/>
    <x v="0"/>
    <s v="Cappuccino"/>
    <x v="1"/>
    <x v="2"/>
    <n v="5"/>
    <n v="116"/>
    <n v="580"/>
  </r>
  <r>
    <d v="2025-03-27T00:00:00"/>
    <n v="2025"/>
    <x v="2"/>
    <x v="0"/>
    <x v="2"/>
    <x v="2"/>
    <s v="Masala Tea"/>
    <x v="0"/>
    <x v="0"/>
    <n v="4"/>
    <n v="118"/>
    <n v="472"/>
  </r>
  <r>
    <d v="2025-03-28T00:00:00"/>
    <n v="2025"/>
    <x v="2"/>
    <x v="1"/>
    <x v="3"/>
    <x v="2"/>
    <s v="Masala Tea"/>
    <x v="0"/>
    <x v="2"/>
    <n v="6"/>
    <n v="154"/>
    <n v="924"/>
  </r>
  <r>
    <d v="2025-03-29T00:00:00"/>
    <n v="2025"/>
    <x v="2"/>
    <x v="1"/>
    <x v="2"/>
    <x v="2"/>
    <s v="Masala Tea"/>
    <x v="1"/>
    <x v="2"/>
    <n v="2"/>
    <n v="214"/>
    <n v="428"/>
  </r>
  <r>
    <d v="2025-03-30T00:00:00"/>
    <n v="2025"/>
    <x v="2"/>
    <x v="3"/>
    <x v="3"/>
    <x v="1"/>
    <s v="Croissant"/>
    <x v="1"/>
    <x v="2"/>
    <n v="6"/>
    <n v="178"/>
    <n v="1068"/>
  </r>
  <r>
    <d v="2025-03-31T00:00:00"/>
    <n v="2025"/>
    <x v="2"/>
    <x v="2"/>
    <x v="3"/>
    <x v="1"/>
    <s v="Croissant"/>
    <x v="1"/>
    <x v="0"/>
    <n v="3"/>
    <n v="243"/>
    <n v="729"/>
  </r>
  <r>
    <d v="2025-01-01T00:00:00"/>
    <n v="2025"/>
    <x v="0"/>
    <x v="1"/>
    <x v="3"/>
    <x v="2"/>
    <s v="Masala Tea"/>
    <x v="1"/>
    <x v="0"/>
    <n v="2"/>
    <n v="87"/>
    <n v="174"/>
  </r>
  <r>
    <d v="2025-01-02T00:00:00"/>
    <n v="2025"/>
    <x v="0"/>
    <x v="2"/>
    <x v="0"/>
    <x v="1"/>
    <s v="Croissant"/>
    <x v="1"/>
    <x v="1"/>
    <n v="3"/>
    <n v="93"/>
    <n v="279"/>
  </r>
  <r>
    <d v="2025-01-03T00:00:00"/>
    <n v="2025"/>
    <x v="0"/>
    <x v="3"/>
    <x v="1"/>
    <x v="2"/>
    <s v="Black Tea"/>
    <x v="0"/>
    <x v="0"/>
    <n v="5"/>
    <n v="136"/>
    <n v="680"/>
  </r>
  <r>
    <d v="2025-01-04T00:00:00"/>
    <n v="2025"/>
    <x v="0"/>
    <x v="4"/>
    <x v="3"/>
    <x v="1"/>
    <s v="Croissant"/>
    <x v="1"/>
    <x v="2"/>
    <n v="4"/>
    <n v="211"/>
    <n v="844"/>
  </r>
  <r>
    <d v="2025-01-05T00:00:00"/>
    <n v="2025"/>
    <x v="0"/>
    <x v="1"/>
    <x v="0"/>
    <x v="0"/>
    <s v="Cappuccino"/>
    <x v="1"/>
    <x v="2"/>
    <n v="6"/>
    <n v="186"/>
    <n v="1116"/>
  </r>
  <r>
    <d v="2025-01-06T00:00:00"/>
    <n v="2025"/>
    <x v="0"/>
    <x v="0"/>
    <x v="4"/>
    <x v="1"/>
    <s v="Muffin"/>
    <x v="0"/>
    <x v="2"/>
    <n v="5"/>
    <n v="199"/>
    <n v="995"/>
  </r>
  <r>
    <d v="2025-01-07T00:00:00"/>
    <n v="2025"/>
    <x v="0"/>
    <x v="2"/>
    <x v="0"/>
    <x v="0"/>
    <s v="Latte"/>
    <x v="1"/>
    <x v="1"/>
    <n v="3"/>
    <n v="70"/>
    <n v="210"/>
  </r>
  <r>
    <d v="2025-01-08T00:00:00"/>
    <n v="2025"/>
    <x v="0"/>
    <x v="3"/>
    <x v="3"/>
    <x v="1"/>
    <s v="Croissant"/>
    <x v="1"/>
    <x v="0"/>
    <n v="3"/>
    <n v="122"/>
    <n v="366"/>
  </r>
  <r>
    <d v="2025-01-09T00:00:00"/>
    <n v="2025"/>
    <x v="0"/>
    <x v="0"/>
    <x v="0"/>
    <x v="2"/>
    <s v="Green Tea"/>
    <x v="1"/>
    <x v="1"/>
    <n v="3"/>
    <n v="195"/>
    <n v="585"/>
  </r>
  <r>
    <d v="2025-01-10T00:00:00"/>
    <n v="2025"/>
    <x v="0"/>
    <x v="2"/>
    <x v="0"/>
    <x v="2"/>
    <s v="Masala Tea"/>
    <x v="1"/>
    <x v="1"/>
    <n v="4"/>
    <n v="79"/>
    <n v="316"/>
  </r>
  <r>
    <d v="2025-01-11T00:00:00"/>
    <n v="2025"/>
    <x v="0"/>
    <x v="3"/>
    <x v="3"/>
    <x v="2"/>
    <s v="Green Tea"/>
    <x v="1"/>
    <x v="2"/>
    <n v="3"/>
    <n v="99"/>
    <n v="297"/>
  </r>
  <r>
    <d v="2025-01-12T00:00:00"/>
    <n v="2025"/>
    <x v="0"/>
    <x v="2"/>
    <x v="4"/>
    <x v="2"/>
    <s v="Black Tea"/>
    <x v="0"/>
    <x v="1"/>
    <n v="3"/>
    <n v="221"/>
    <n v="663"/>
  </r>
  <r>
    <d v="2025-01-13T00:00:00"/>
    <n v="2025"/>
    <x v="0"/>
    <x v="1"/>
    <x v="2"/>
    <x v="1"/>
    <s v="Brownie"/>
    <x v="1"/>
    <x v="2"/>
    <n v="5"/>
    <n v="101"/>
    <n v="505"/>
  </r>
  <r>
    <d v="2025-01-14T00:00:00"/>
    <n v="2025"/>
    <x v="0"/>
    <x v="2"/>
    <x v="3"/>
    <x v="1"/>
    <s v="Croissant"/>
    <x v="1"/>
    <x v="1"/>
    <n v="3"/>
    <n v="215"/>
    <n v="645"/>
  </r>
  <r>
    <d v="2025-01-15T00:00:00"/>
    <n v="2025"/>
    <x v="0"/>
    <x v="1"/>
    <x v="1"/>
    <x v="2"/>
    <s v="Black Tea"/>
    <x v="0"/>
    <x v="0"/>
    <n v="3"/>
    <n v="151"/>
    <n v="453"/>
  </r>
  <r>
    <d v="2025-01-16T00:00:00"/>
    <n v="2025"/>
    <x v="0"/>
    <x v="2"/>
    <x v="3"/>
    <x v="0"/>
    <s v="Latte"/>
    <x v="0"/>
    <x v="2"/>
    <n v="6"/>
    <n v="111"/>
    <n v="666"/>
  </r>
  <r>
    <d v="2025-01-17T00:00:00"/>
    <n v="2025"/>
    <x v="0"/>
    <x v="3"/>
    <x v="1"/>
    <x v="2"/>
    <s v="Green Tea"/>
    <x v="1"/>
    <x v="1"/>
    <n v="1"/>
    <n v="112"/>
    <n v="112"/>
  </r>
  <r>
    <d v="2025-01-18T00:00:00"/>
    <n v="2025"/>
    <x v="0"/>
    <x v="2"/>
    <x v="3"/>
    <x v="0"/>
    <s v="Mocha"/>
    <x v="1"/>
    <x v="2"/>
    <n v="2"/>
    <n v="198"/>
    <n v="396"/>
  </r>
  <r>
    <d v="2025-01-19T00:00:00"/>
    <n v="2025"/>
    <x v="0"/>
    <x v="1"/>
    <x v="2"/>
    <x v="2"/>
    <s v="Green Tea"/>
    <x v="0"/>
    <x v="2"/>
    <n v="3"/>
    <n v="238"/>
    <n v="714"/>
  </r>
  <r>
    <d v="2025-01-20T00:00:00"/>
    <n v="2025"/>
    <x v="0"/>
    <x v="0"/>
    <x v="1"/>
    <x v="0"/>
    <s v="Americano"/>
    <x v="1"/>
    <x v="2"/>
    <n v="2"/>
    <n v="226"/>
    <n v="452"/>
  </r>
  <r>
    <d v="2025-01-21T00:00:00"/>
    <n v="2025"/>
    <x v="0"/>
    <x v="4"/>
    <x v="2"/>
    <x v="1"/>
    <s v="Brownie"/>
    <x v="1"/>
    <x v="0"/>
    <n v="4"/>
    <n v="206"/>
    <n v="824"/>
  </r>
  <r>
    <d v="2025-01-22T00:00:00"/>
    <n v="2025"/>
    <x v="0"/>
    <x v="0"/>
    <x v="3"/>
    <x v="2"/>
    <s v="Masala Tea"/>
    <x v="0"/>
    <x v="1"/>
    <n v="2"/>
    <n v="85"/>
    <n v="170"/>
  </r>
  <r>
    <d v="2025-01-23T00:00:00"/>
    <n v="2025"/>
    <x v="0"/>
    <x v="2"/>
    <x v="0"/>
    <x v="0"/>
    <s v="Espresso"/>
    <x v="0"/>
    <x v="0"/>
    <n v="6"/>
    <n v="174"/>
    <n v="1044"/>
  </r>
  <r>
    <d v="2025-01-24T00:00:00"/>
    <n v="2025"/>
    <x v="0"/>
    <x v="4"/>
    <x v="0"/>
    <x v="1"/>
    <s v="Brownie"/>
    <x v="0"/>
    <x v="1"/>
    <n v="1"/>
    <n v="119"/>
    <n v="119"/>
  </r>
  <r>
    <d v="2025-01-25T00:00:00"/>
    <n v="2025"/>
    <x v="0"/>
    <x v="3"/>
    <x v="0"/>
    <x v="0"/>
    <s v="Mocha"/>
    <x v="1"/>
    <x v="0"/>
    <n v="4"/>
    <n v="165"/>
    <n v="660"/>
  </r>
  <r>
    <d v="2025-01-26T00:00:00"/>
    <n v="2025"/>
    <x v="0"/>
    <x v="1"/>
    <x v="0"/>
    <x v="2"/>
    <s v="Black Tea"/>
    <x v="1"/>
    <x v="1"/>
    <n v="1"/>
    <n v="141"/>
    <n v="141"/>
  </r>
  <r>
    <d v="2025-01-27T00:00:00"/>
    <n v="2025"/>
    <x v="0"/>
    <x v="3"/>
    <x v="1"/>
    <x v="1"/>
    <s v="Croissant"/>
    <x v="0"/>
    <x v="0"/>
    <n v="4"/>
    <n v="234"/>
    <n v="936"/>
  </r>
  <r>
    <d v="2025-01-28T00:00:00"/>
    <n v="2025"/>
    <x v="0"/>
    <x v="0"/>
    <x v="4"/>
    <x v="2"/>
    <s v="Black Tea"/>
    <x v="1"/>
    <x v="0"/>
    <n v="2"/>
    <n v="211"/>
    <n v="422"/>
  </r>
  <r>
    <d v="2025-01-29T00:00:00"/>
    <n v="2025"/>
    <x v="0"/>
    <x v="2"/>
    <x v="4"/>
    <x v="0"/>
    <s v="Americano"/>
    <x v="1"/>
    <x v="2"/>
    <n v="5"/>
    <n v="214"/>
    <n v="1070"/>
  </r>
  <r>
    <d v="2025-01-30T00:00:00"/>
    <n v="2025"/>
    <x v="0"/>
    <x v="4"/>
    <x v="1"/>
    <x v="1"/>
    <s v="Croissant"/>
    <x v="1"/>
    <x v="0"/>
    <n v="3"/>
    <n v="75"/>
    <n v="225"/>
  </r>
  <r>
    <d v="2025-01-31T00:00:00"/>
    <n v="2025"/>
    <x v="0"/>
    <x v="3"/>
    <x v="0"/>
    <x v="1"/>
    <s v="Croissant"/>
    <x v="1"/>
    <x v="1"/>
    <n v="6"/>
    <n v="76"/>
    <n v="456"/>
  </r>
  <r>
    <d v="2025-02-01T00:00:00"/>
    <n v="2025"/>
    <x v="1"/>
    <x v="1"/>
    <x v="3"/>
    <x v="0"/>
    <s v="Mocha"/>
    <x v="0"/>
    <x v="1"/>
    <n v="1"/>
    <n v="239"/>
    <n v="239"/>
  </r>
  <r>
    <d v="2025-02-02T00:00:00"/>
    <n v="2025"/>
    <x v="1"/>
    <x v="1"/>
    <x v="2"/>
    <x v="2"/>
    <s v="Masala Tea"/>
    <x v="0"/>
    <x v="2"/>
    <n v="6"/>
    <n v="115"/>
    <n v="690"/>
  </r>
  <r>
    <d v="2025-02-03T00:00:00"/>
    <n v="2025"/>
    <x v="1"/>
    <x v="0"/>
    <x v="1"/>
    <x v="1"/>
    <s v="Brownie"/>
    <x v="0"/>
    <x v="0"/>
    <n v="1"/>
    <n v="243"/>
    <n v="243"/>
  </r>
  <r>
    <d v="2025-02-04T00:00:00"/>
    <n v="2025"/>
    <x v="1"/>
    <x v="2"/>
    <x v="4"/>
    <x v="2"/>
    <s v="Black Tea"/>
    <x v="1"/>
    <x v="2"/>
    <n v="2"/>
    <n v="131"/>
    <n v="262"/>
  </r>
  <r>
    <d v="2025-02-05T00:00:00"/>
    <n v="2025"/>
    <x v="1"/>
    <x v="2"/>
    <x v="4"/>
    <x v="0"/>
    <s v="Cappuccino"/>
    <x v="1"/>
    <x v="2"/>
    <n v="6"/>
    <n v="77"/>
    <n v="462"/>
  </r>
  <r>
    <d v="2025-02-06T00:00:00"/>
    <n v="2025"/>
    <x v="1"/>
    <x v="4"/>
    <x v="3"/>
    <x v="1"/>
    <s v="Brownie"/>
    <x v="0"/>
    <x v="0"/>
    <n v="3"/>
    <n v="78"/>
    <n v="234"/>
  </r>
  <r>
    <d v="2025-02-07T00:00:00"/>
    <n v="2025"/>
    <x v="1"/>
    <x v="4"/>
    <x v="2"/>
    <x v="0"/>
    <s v="Americano"/>
    <x v="1"/>
    <x v="1"/>
    <n v="4"/>
    <n v="168"/>
    <n v="672"/>
  </r>
  <r>
    <d v="2025-02-08T00:00:00"/>
    <n v="2025"/>
    <x v="1"/>
    <x v="1"/>
    <x v="0"/>
    <x v="1"/>
    <s v="Croissant"/>
    <x v="0"/>
    <x v="1"/>
    <n v="5"/>
    <n v="208"/>
    <n v="1040"/>
  </r>
  <r>
    <d v="2025-02-09T00:00:00"/>
    <n v="2025"/>
    <x v="1"/>
    <x v="4"/>
    <x v="1"/>
    <x v="2"/>
    <s v="Black Tea"/>
    <x v="0"/>
    <x v="0"/>
    <n v="1"/>
    <n v="162"/>
    <n v="162"/>
  </r>
  <r>
    <d v="2025-02-10T00:00:00"/>
    <n v="2025"/>
    <x v="1"/>
    <x v="0"/>
    <x v="2"/>
    <x v="2"/>
    <s v="Masala Tea"/>
    <x v="1"/>
    <x v="0"/>
    <n v="6"/>
    <n v="121"/>
    <n v="726"/>
  </r>
  <r>
    <d v="2025-02-11T00:00:00"/>
    <n v="2025"/>
    <x v="1"/>
    <x v="3"/>
    <x v="2"/>
    <x v="1"/>
    <s v="Muffin"/>
    <x v="0"/>
    <x v="0"/>
    <n v="2"/>
    <n v="74"/>
    <n v="148"/>
  </r>
  <r>
    <d v="2025-02-12T00:00:00"/>
    <n v="2025"/>
    <x v="1"/>
    <x v="4"/>
    <x v="4"/>
    <x v="1"/>
    <s v="Croissant"/>
    <x v="1"/>
    <x v="1"/>
    <n v="1"/>
    <n v="186"/>
    <n v="186"/>
  </r>
  <r>
    <d v="2025-02-13T00:00:00"/>
    <n v="2025"/>
    <x v="1"/>
    <x v="4"/>
    <x v="1"/>
    <x v="0"/>
    <s v="Americano"/>
    <x v="1"/>
    <x v="1"/>
    <n v="6"/>
    <n v="174"/>
    <n v="1044"/>
  </r>
  <r>
    <d v="2025-02-14T00:00:00"/>
    <n v="2025"/>
    <x v="1"/>
    <x v="2"/>
    <x v="0"/>
    <x v="1"/>
    <s v="Muffin"/>
    <x v="0"/>
    <x v="1"/>
    <n v="1"/>
    <n v="181"/>
    <n v="181"/>
  </r>
  <r>
    <d v="2025-02-15T00:00:00"/>
    <n v="2025"/>
    <x v="1"/>
    <x v="1"/>
    <x v="2"/>
    <x v="0"/>
    <s v="Cappuccino"/>
    <x v="1"/>
    <x v="1"/>
    <n v="1"/>
    <n v="122"/>
    <n v="122"/>
  </r>
  <r>
    <d v="2025-02-16T00:00:00"/>
    <n v="2025"/>
    <x v="1"/>
    <x v="2"/>
    <x v="3"/>
    <x v="0"/>
    <s v="Latte"/>
    <x v="0"/>
    <x v="0"/>
    <n v="1"/>
    <n v="132"/>
    <n v="132"/>
  </r>
  <r>
    <d v="2025-02-17T00:00:00"/>
    <n v="2025"/>
    <x v="1"/>
    <x v="1"/>
    <x v="0"/>
    <x v="0"/>
    <s v="Espresso"/>
    <x v="1"/>
    <x v="2"/>
    <n v="3"/>
    <n v="152"/>
    <n v="456"/>
  </r>
  <r>
    <d v="2025-02-18T00:00:00"/>
    <n v="2025"/>
    <x v="1"/>
    <x v="3"/>
    <x v="0"/>
    <x v="0"/>
    <s v="Cappuccino"/>
    <x v="1"/>
    <x v="1"/>
    <n v="6"/>
    <n v="90"/>
    <n v="540"/>
  </r>
  <r>
    <d v="2025-02-19T00:00:00"/>
    <n v="2025"/>
    <x v="1"/>
    <x v="1"/>
    <x v="2"/>
    <x v="2"/>
    <s v="Green Tea"/>
    <x v="1"/>
    <x v="2"/>
    <n v="5"/>
    <n v="164"/>
    <n v="8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719039-382C-42AE-AF2F-FCD3657C76F0}"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4:H8" firstHeaderRow="1" firstDataRow="1" firstDataCol="1"/>
  <pivotFields count="12">
    <pivotField numFmtId="14" showAll="0"/>
    <pivotField showAll="0"/>
    <pivotField axis="axisRow" showAll="0">
      <items count="4">
        <item x="0"/>
        <item x="1"/>
        <item x="2"/>
        <item t="default"/>
      </items>
    </pivotField>
    <pivotField showAll="0"/>
    <pivotField showAll="0"/>
    <pivotField showAll="0">
      <items count="4">
        <item x="1"/>
        <item x="0"/>
        <item x="2"/>
        <item t="default"/>
      </items>
    </pivotField>
    <pivotField showAll="0"/>
    <pivotField showAll="0"/>
    <pivotField showAll="0"/>
    <pivotField showAll="0"/>
    <pivotField showAll="0"/>
    <pivotField dataField="1" showAll="0"/>
  </pivotFields>
  <rowFields count="1">
    <field x="2"/>
  </rowFields>
  <rowItems count="4">
    <i>
      <x/>
    </i>
    <i>
      <x v="1"/>
    </i>
    <i>
      <x v="2"/>
    </i>
    <i t="grand">
      <x/>
    </i>
  </rowItems>
  <colItems count="1">
    <i/>
  </colItems>
  <dataFields count="1">
    <dataField name="Average of Sales Amount" fld="11" subtotal="average" baseField="2" baseItem="0"/>
  </dataFields>
  <formats count="4">
    <format dxfId="35">
      <pivotArea collapsedLevelsAreSubtotals="1" fieldPosition="0">
        <references count="1">
          <reference field="2" count="1">
            <x v="1"/>
          </reference>
        </references>
      </pivotArea>
    </format>
    <format dxfId="34">
      <pivotArea collapsedLevelsAreSubtotals="1" fieldPosition="0">
        <references count="1">
          <reference field="2" count="1">
            <x v="0"/>
          </reference>
        </references>
      </pivotArea>
    </format>
    <format dxfId="33">
      <pivotArea collapsedLevelsAreSubtotals="1" fieldPosition="0">
        <references count="1">
          <reference field="2" count="1">
            <x v="2"/>
          </reference>
        </references>
      </pivotArea>
    </format>
    <format dxfId="32">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D93E280-994E-4B41-B927-65A49BBA543A}"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12">
    <pivotField numFmtId="14" showAll="0"/>
    <pivotField showAll="0"/>
    <pivotField showAll="0"/>
    <pivotField showAll="0"/>
    <pivotField showAll="0"/>
    <pivotField showAll="0">
      <items count="4">
        <item x="1"/>
        <item x="0"/>
        <item x="2"/>
        <item t="default"/>
      </items>
    </pivotField>
    <pivotField showAll="0"/>
    <pivotField showAll="0"/>
    <pivotField showAll="0"/>
    <pivotField dataField="1" showAll="0"/>
    <pivotField showAll="0"/>
    <pivotField dataField="1" showAll="0"/>
  </pivotFields>
  <rowItems count="1">
    <i/>
  </rowItems>
  <colFields count="1">
    <field x="-2"/>
  </colFields>
  <colItems count="2">
    <i>
      <x/>
    </i>
    <i i="1">
      <x v="1"/>
    </i>
  </colItems>
  <dataFields count="2">
    <dataField name="Sum of Sales Amount" fld="11" baseField="0" baseItem="0"/>
    <dataField name="Sum of Quantity Sold"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DC8EC44-3A20-4448-BC08-D5807720368C}"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3:C7" firstHeaderRow="1" firstDataRow="1" firstDataCol="1"/>
  <pivotFields count="12">
    <pivotField numFmtId="14" showAll="0"/>
    <pivotField showAll="0"/>
    <pivotField showAll="0"/>
    <pivotField showAll="0"/>
    <pivotField showAll="0"/>
    <pivotField axis="axisRow" showAll="0">
      <items count="4">
        <item x="1"/>
        <item x="0"/>
        <item x="2"/>
        <item t="default"/>
      </items>
    </pivotField>
    <pivotField showAll="0"/>
    <pivotField showAll="0"/>
    <pivotField showAll="0"/>
    <pivotField dataField="1" showAll="0"/>
    <pivotField showAll="0"/>
    <pivotField showAll="0"/>
  </pivotFields>
  <rowFields count="1">
    <field x="5"/>
  </rowFields>
  <rowItems count="4">
    <i>
      <x/>
    </i>
    <i>
      <x v="1"/>
    </i>
    <i>
      <x v="2"/>
    </i>
    <i t="grand">
      <x/>
    </i>
  </rowItems>
  <colItems count="1">
    <i/>
  </colItems>
  <dataFields count="1">
    <dataField name="Sum of Quantity Sold" fld="9"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1F8BA02-A413-4532-81A5-75ABF567AFEF}"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4" firstHeaderRow="1" firstDataRow="1" firstDataCol="1"/>
  <pivotFields count="12">
    <pivotField numFmtId="14" showAll="0"/>
    <pivotField showAll="0"/>
    <pivotField showAll="0"/>
    <pivotField showAll="0"/>
    <pivotField showAll="0"/>
    <pivotField showAll="0">
      <items count="4">
        <item x="1"/>
        <item x="0"/>
        <item x="2"/>
        <item t="default"/>
      </items>
    </pivotField>
    <pivotField showAll="0"/>
    <pivotField axis="axisRow" showAll="0">
      <items count="3">
        <item x="1"/>
        <item x="0"/>
        <item t="default"/>
      </items>
    </pivotField>
    <pivotField showAll="0"/>
    <pivotField showAll="0"/>
    <pivotField showAll="0"/>
    <pivotField dataField="1" showAll="0"/>
  </pivotFields>
  <rowFields count="1">
    <field x="7"/>
  </rowFields>
  <rowItems count="3">
    <i>
      <x/>
    </i>
    <i>
      <x v="1"/>
    </i>
    <i t="grand">
      <x/>
    </i>
  </rowItems>
  <colItems count="1">
    <i/>
  </colItems>
  <dataFields count="1">
    <dataField name="Sum of Sales Amount" fld="1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5926CFE-6880-4DB6-8932-92CE3265C213}"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6:C10" firstHeaderRow="1" firstDataRow="1" firstDataCol="1"/>
  <pivotFields count="12">
    <pivotField numFmtId="14" showAll="0"/>
    <pivotField showAll="0"/>
    <pivotField showAll="0"/>
    <pivotField showAll="0"/>
    <pivotField showAll="0"/>
    <pivotField showAll="0">
      <items count="4">
        <item x="1"/>
        <item x="0"/>
        <item x="2"/>
        <item t="default"/>
      </items>
    </pivotField>
    <pivotField showAll="0"/>
    <pivotField showAll="0">
      <items count="3">
        <item x="1"/>
        <item x="0"/>
        <item t="default"/>
      </items>
    </pivotField>
    <pivotField axis="axisRow" showAll="0">
      <items count="4">
        <item x="0"/>
        <item x="1"/>
        <item x="2"/>
        <item t="default"/>
      </items>
    </pivotField>
    <pivotField showAll="0"/>
    <pivotField showAll="0"/>
    <pivotField dataField="1" showAll="0"/>
  </pivotFields>
  <rowFields count="1">
    <field x="8"/>
  </rowFields>
  <rowItems count="4">
    <i>
      <x/>
    </i>
    <i>
      <x v="1"/>
    </i>
    <i>
      <x v="2"/>
    </i>
    <i t="grand">
      <x/>
    </i>
  </rowItems>
  <colItems count="1">
    <i/>
  </colItems>
  <dataFields count="1">
    <dataField name="Sum of Sales Amount" fld="1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1D2A379-2676-48A2-BD04-63CBF0C5A735}"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5" firstHeaderRow="1" firstDataRow="1" firstDataCol="1"/>
  <pivotFields count="12">
    <pivotField numFmtId="14" showAll="0"/>
    <pivotField showAll="0"/>
    <pivotField axis="axisRow" showAll="0">
      <items count="4">
        <item x="0"/>
        <item x="1"/>
        <item x="2"/>
        <item t="default"/>
      </items>
    </pivotField>
    <pivotField showAll="0"/>
    <pivotField showAll="0"/>
    <pivotField showAll="0">
      <items count="4">
        <item x="1"/>
        <item x="0"/>
        <item x="2"/>
        <item t="default"/>
      </items>
    </pivotField>
    <pivotField showAll="0"/>
    <pivotField showAll="0">
      <items count="3">
        <item x="1"/>
        <item x="0"/>
        <item t="default"/>
      </items>
    </pivotField>
    <pivotField showAll="0">
      <items count="4">
        <item x="0"/>
        <item x="1"/>
        <item x="2"/>
        <item t="default"/>
      </items>
    </pivotField>
    <pivotField showAll="0"/>
    <pivotField showAll="0"/>
    <pivotField dataField="1" showAll="0"/>
  </pivotFields>
  <rowFields count="1">
    <field x="2"/>
  </rowFields>
  <rowItems count="4">
    <i>
      <x/>
    </i>
    <i>
      <x v="1"/>
    </i>
    <i>
      <x v="2"/>
    </i>
    <i t="grand">
      <x/>
    </i>
  </rowItems>
  <colItems count="1">
    <i/>
  </colItems>
  <dataFields count="1">
    <dataField name="Sum of Sales Amount" fld="11" baseField="0" baseItem="0"/>
  </dataFields>
  <chartFormats count="5">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2" count="1" selected="0">
            <x v="0"/>
          </reference>
        </references>
      </pivotArea>
    </chartFormat>
    <chartFormat chart="2" format="7">
      <pivotArea type="data" outline="0" fieldPosition="0">
        <references count="2">
          <reference field="4294967294" count="1" selected="0">
            <x v="0"/>
          </reference>
          <reference field="2" count="1" selected="0">
            <x v="1"/>
          </reference>
        </references>
      </pivotArea>
    </chartFormat>
    <chartFormat chart="2" format="8">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716FB56-A8F3-4EB5-8323-B948FF1E7E02}"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7" firstHeaderRow="1" firstDataRow="1" firstDataCol="1"/>
  <pivotFields count="12">
    <pivotField numFmtId="14" showAll="0"/>
    <pivotField showAll="0"/>
    <pivotField showAll="0">
      <items count="4">
        <item x="0"/>
        <item x="1"/>
        <item x="2"/>
        <item t="default"/>
      </items>
    </pivotField>
    <pivotField axis="axisRow" showAll="0">
      <items count="6">
        <item x="4"/>
        <item x="2"/>
        <item x="0"/>
        <item x="3"/>
        <item x="1"/>
        <item t="default"/>
      </items>
    </pivotField>
    <pivotField showAll="0"/>
    <pivotField showAll="0">
      <items count="4">
        <item x="1"/>
        <item x="0"/>
        <item x="2"/>
        <item t="default"/>
      </items>
    </pivotField>
    <pivotField showAll="0"/>
    <pivotField showAll="0">
      <items count="3">
        <item x="1"/>
        <item x="0"/>
        <item t="default"/>
      </items>
    </pivotField>
    <pivotField showAll="0">
      <items count="4">
        <item x="0"/>
        <item x="1"/>
        <item x="2"/>
        <item t="default"/>
      </items>
    </pivotField>
    <pivotField dataField="1" showAll="0"/>
    <pivotField showAll="0"/>
    <pivotField showAll="0"/>
  </pivotFields>
  <rowFields count="1">
    <field x="3"/>
  </rowFields>
  <rowItems count="6">
    <i>
      <x/>
    </i>
    <i>
      <x v="1"/>
    </i>
    <i>
      <x v="2"/>
    </i>
    <i>
      <x v="3"/>
    </i>
    <i>
      <x v="4"/>
    </i>
    <i t="grand">
      <x/>
    </i>
  </rowItems>
  <colItems count="1">
    <i/>
  </colItems>
  <dataFields count="1">
    <dataField name="Sum of Quantity Sold" fld="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18DB7CF-943A-46A7-94D3-FC9DE4E76F6E}" name="PivotTable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7" firstHeaderRow="1" firstDataRow="1" firstDataCol="1"/>
  <pivotFields count="12">
    <pivotField numFmtId="14" showAll="0"/>
    <pivotField showAll="0"/>
    <pivotField showAll="0">
      <items count="4">
        <item x="0"/>
        <item x="1"/>
        <item x="2"/>
        <item t="default"/>
      </items>
    </pivotField>
    <pivotField showAll="0">
      <items count="6">
        <item x="4"/>
        <item x="2"/>
        <item x="0"/>
        <item x="3"/>
        <item x="1"/>
        <item t="default"/>
      </items>
    </pivotField>
    <pivotField axis="axisRow" showAll="0">
      <items count="6">
        <item x="3"/>
        <item x="4"/>
        <item x="1"/>
        <item x="0"/>
        <item x="2"/>
        <item t="default"/>
      </items>
    </pivotField>
    <pivotField showAll="0">
      <items count="4">
        <item x="1"/>
        <item x="0"/>
        <item x="2"/>
        <item t="default"/>
      </items>
    </pivotField>
    <pivotField showAll="0"/>
    <pivotField showAll="0">
      <items count="3">
        <item x="1"/>
        <item x="0"/>
        <item t="default"/>
      </items>
    </pivotField>
    <pivotField showAll="0">
      <items count="4">
        <item x="0"/>
        <item x="1"/>
        <item x="2"/>
        <item t="default"/>
      </items>
    </pivotField>
    <pivotField dataField="1" showAll="0"/>
    <pivotField showAll="0"/>
    <pivotField showAll="0"/>
  </pivotFields>
  <rowFields count="1">
    <field x="4"/>
  </rowFields>
  <rowItems count="6">
    <i>
      <x/>
    </i>
    <i>
      <x v="1"/>
    </i>
    <i>
      <x v="2"/>
    </i>
    <i>
      <x v="3"/>
    </i>
    <i>
      <x v="4"/>
    </i>
    <i t="grand">
      <x/>
    </i>
  </rowItems>
  <colItems count="1">
    <i/>
  </colItems>
  <dataFields count="1">
    <dataField name="Sum of Quantity Sold" fld="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05B9EDD0-8D77-4935-ADA7-BA7DB61BC8B9}" sourceName="Product Category">
  <pivotTables>
    <pivotTable tabId="4" name="PivotTable2"/>
    <pivotTable tabId="3" name="PivotTable1"/>
    <pivotTable tabId="9" name="PivotTable3"/>
    <pivotTable tabId="10" name="PivotTable4"/>
    <pivotTable tabId="11" name="PivotTable5"/>
    <pivotTable tabId="12" name="PivotTable6"/>
    <pivotTable tabId="2" name="PivotTable1"/>
    <pivotTable tabId="2" name="PivotTable2"/>
  </pivotTables>
  <data>
    <tabular pivotCacheId="1841592028">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04A88A5C-3BC7-483E-826D-D5965E8BED32}" cache="Slicer_Product_Category" caption="Product Category"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1" xr10:uid="{89C86595-AAB8-4778-8E24-6AC2B14B108E}" cache="Slicer_Product_Category" caption="Product Category"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37327-A7DC-45FA-BA99-80784FDD9726}">
  <dimension ref="A1:L501"/>
  <sheetViews>
    <sheetView workbookViewId="0">
      <selection activeCell="K1" sqref="A1:L501"/>
    </sheetView>
  </sheetViews>
  <sheetFormatPr defaultRowHeight="15" x14ac:dyDescent="0.25"/>
  <cols>
    <col min="1" max="1" width="10.42578125" bestFit="1" customWidth="1"/>
    <col min="2" max="2" width="5" bestFit="1" customWidth="1"/>
    <col min="3" max="3" width="6.5703125" bestFit="1" customWidth="1"/>
    <col min="4" max="4" width="13.5703125" bestFit="1" customWidth="1"/>
    <col min="5" max="5" width="9.42578125" bestFit="1" customWidth="1"/>
    <col min="6" max="6" width="16" bestFit="1" customWidth="1"/>
    <col min="7" max="7" width="13.7109375" bestFit="1" customWidth="1"/>
    <col min="8" max="9" width="14" bestFit="1" customWidth="1"/>
    <col min="10" max="10" width="12.7109375" bestFit="1" customWidth="1"/>
    <col min="11" max="11" width="9.42578125" bestFit="1" customWidth="1"/>
    <col min="12" max="12" width="13.140625" bestFit="1" customWidth="1"/>
  </cols>
  <sheetData>
    <row r="1" spans="1:12" x14ac:dyDescent="0.25">
      <c r="A1" t="s">
        <v>43</v>
      </c>
      <c r="B1" t="s">
        <v>42</v>
      </c>
      <c r="C1" t="s">
        <v>41</v>
      </c>
      <c r="D1" t="s">
        <v>40</v>
      </c>
      <c r="E1" t="s">
        <v>39</v>
      </c>
      <c r="F1" t="s">
        <v>38</v>
      </c>
      <c r="G1" t="s">
        <v>37</v>
      </c>
      <c r="H1" t="s">
        <v>36</v>
      </c>
      <c r="I1" t="s">
        <v>35</v>
      </c>
      <c r="J1" t="s">
        <v>34</v>
      </c>
      <c r="K1" t="s">
        <v>33</v>
      </c>
      <c r="L1" t="s">
        <v>32</v>
      </c>
    </row>
    <row r="2" spans="1:12" x14ac:dyDescent="0.25">
      <c r="A2" s="1">
        <v>45658</v>
      </c>
      <c r="B2">
        <v>2025</v>
      </c>
      <c r="C2" t="s">
        <v>30</v>
      </c>
      <c r="D2" t="s">
        <v>26</v>
      </c>
      <c r="E2" t="s">
        <v>10</v>
      </c>
      <c r="F2" t="s">
        <v>9</v>
      </c>
      <c r="G2" t="s">
        <v>20</v>
      </c>
      <c r="H2" t="s">
        <v>14</v>
      </c>
      <c r="I2" t="s">
        <v>13</v>
      </c>
      <c r="J2">
        <v>4</v>
      </c>
      <c r="K2">
        <v>244</v>
      </c>
      <c r="L2">
        <v>976</v>
      </c>
    </row>
    <row r="3" spans="1:12" x14ac:dyDescent="0.25">
      <c r="A3" s="1">
        <v>45659</v>
      </c>
      <c r="B3">
        <v>2025</v>
      </c>
      <c r="C3" t="s">
        <v>30</v>
      </c>
      <c r="D3" t="s">
        <v>26</v>
      </c>
      <c r="E3" t="s">
        <v>21</v>
      </c>
      <c r="F3" t="s">
        <v>19</v>
      </c>
      <c r="G3" t="s">
        <v>23</v>
      </c>
      <c r="H3" t="s">
        <v>14</v>
      </c>
      <c r="I3" t="s">
        <v>13</v>
      </c>
      <c r="J3">
        <v>5</v>
      </c>
      <c r="K3">
        <v>77</v>
      </c>
      <c r="L3">
        <v>385</v>
      </c>
    </row>
    <row r="4" spans="1:12" x14ac:dyDescent="0.25">
      <c r="A4" s="1">
        <v>45660</v>
      </c>
      <c r="B4">
        <v>2025</v>
      </c>
      <c r="C4" t="s">
        <v>30</v>
      </c>
      <c r="D4" t="s">
        <v>5</v>
      </c>
      <c r="E4" t="s">
        <v>4</v>
      </c>
      <c r="F4" t="s">
        <v>3</v>
      </c>
      <c r="G4" t="s">
        <v>25</v>
      </c>
      <c r="H4" t="s">
        <v>1</v>
      </c>
      <c r="I4" t="s">
        <v>13</v>
      </c>
      <c r="J4">
        <v>5</v>
      </c>
      <c r="K4">
        <v>135</v>
      </c>
      <c r="L4">
        <v>675</v>
      </c>
    </row>
    <row r="5" spans="1:12" x14ac:dyDescent="0.25">
      <c r="A5" s="1">
        <v>45661</v>
      </c>
      <c r="B5">
        <v>2025</v>
      </c>
      <c r="C5" t="s">
        <v>30</v>
      </c>
      <c r="D5" t="s">
        <v>17</v>
      </c>
      <c r="E5" t="s">
        <v>16</v>
      </c>
      <c r="F5" t="s">
        <v>3</v>
      </c>
      <c r="G5" t="s">
        <v>2</v>
      </c>
      <c r="H5" t="s">
        <v>1</v>
      </c>
      <c r="I5" t="s">
        <v>7</v>
      </c>
      <c r="J5">
        <v>1</v>
      </c>
      <c r="K5">
        <v>223</v>
      </c>
      <c r="L5">
        <v>223</v>
      </c>
    </row>
    <row r="6" spans="1:12" x14ac:dyDescent="0.25">
      <c r="A6" s="1">
        <v>45662</v>
      </c>
      <c r="B6">
        <v>2025</v>
      </c>
      <c r="C6" t="s">
        <v>30</v>
      </c>
      <c r="D6" t="s">
        <v>26</v>
      </c>
      <c r="E6" t="s">
        <v>4</v>
      </c>
      <c r="F6" t="s">
        <v>9</v>
      </c>
      <c r="G6" t="s">
        <v>15</v>
      </c>
      <c r="H6" t="s">
        <v>14</v>
      </c>
      <c r="I6" t="s">
        <v>0</v>
      </c>
      <c r="J6">
        <v>4</v>
      </c>
      <c r="K6">
        <v>214</v>
      </c>
      <c r="L6">
        <v>856</v>
      </c>
    </row>
    <row r="7" spans="1:12" x14ac:dyDescent="0.25">
      <c r="A7" s="1">
        <v>45663</v>
      </c>
      <c r="B7">
        <v>2025</v>
      </c>
      <c r="C7" t="s">
        <v>30</v>
      </c>
      <c r="D7" t="s">
        <v>5</v>
      </c>
      <c r="E7" t="s">
        <v>16</v>
      </c>
      <c r="F7" t="s">
        <v>9</v>
      </c>
      <c r="G7" t="s">
        <v>12</v>
      </c>
      <c r="H7" t="s">
        <v>14</v>
      </c>
      <c r="I7" t="s">
        <v>13</v>
      </c>
      <c r="J7">
        <v>5</v>
      </c>
      <c r="K7">
        <v>142</v>
      </c>
      <c r="L7">
        <v>710</v>
      </c>
    </row>
    <row r="8" spans="1:12" x14ac:dyDescent="0.25">
      <c r="A8" s="1">
        <v>45664</v>
      </c>
      <c r="B8">
        <v>2025</v>
      </c>
      <c r="C8" t="s">
        <v>30</v>
      </c>
      <c r="D8" t="s">
        <v>17</v>
      </c>
      <c r="E8" t="s">
        <v>10</v>
      </c>
      <c r="F8" t="s">
        <v>19</v>
      </c>
      <c r="G8" t="s">
        <v>23</v>
      </c>
      <c r="H8" t="s">
        <v>1</v>
      </c>
      <c r="I8" t="s">
        <v>0</v>
      </c>
      <c r="J8">
        <v>6</v>
      </c>
      <c r="K8">
        <v>66</v>
      </c>
      <c r="L8">
        <v>396</v>
      </c>
    </row>
    <row r="9" spans="1:12" x14ac:dyDescent="0.25">
      <c r="A9" s="1">
        <v>45665</v>
      </c>
      <c r="B9">
        <v>2025</v>
      </c>
      <c r="C9" t="s">
        <v>30</v>
      </c>
      <c r="D9" t="s">
        <v>11</v>
      </c>
      <c r="E9" t="s">
        <v>21</v>
      </c>
      <c r="F9" t="s">
        <v>3</v>
      </c>
      <c r="G9" t="s">
        <v>25</v>
      </c>
      <c r="H9" t="s">
        <v>1</v>
      </c>
      <c r="I9" t="s">
        <v>0</v>
      </c>
      <c r="J9">
        <v>6</v>
      </c>
      <c r="K9">
        <v>223</v>
      </c>
      <c r="L9">
        <v>1338</v>
      </c>
    </row>
    <row r="10" spans="1:12" x14ac:dyDescent="0.25">
      <c r="A10" s="1">
        <v>45666</v>
      </c>
      <c r="B10">
        <v>2025</v>
      </c>
      <c r="C10" t="s">
        <v>30</v>
      </c>
      <c r="D10" t="s">
        <v>26</v>
      </c>
      <c r="E10" t="s">
        <v>16</v>
      </c>
      <c r="F10" t="s">
        <v>3</v>
      </c>
      <c r="G10" t="s">
        <v>27</v>
      </c>
      <c r="H10" t="s">
        <v>14</v>
      </c>
      <c r="I10" t="s">
        <v>7</v>
      </c>
      <c r="J10">
        <v>5</v>
      </c>
      <c r="K10">
        <v>211</v>
      </c>
      <c r="L10">
        <v>1055</v>
      </c>
    </row>
    <row r="11" spans="1:12" x14ac:dyDescent="0.25">
      <c r="A11" s="1">
        <v>45667</v>
      </c>
      <c r="B11">
        <v>2025</v>
      </c>
      <c r="C11" t="s">
        <v>30</v>
      </c>
      <c r="D11" t="s">
        <v>11</v>
      </c>
      <c r="E11" t="s">
        <v>21</v>
      </c>
      <c r="F11" t="s">
        <v>9</v>
      </c>
      <c r="G11" t="s">
        <v>8</v>
      </c>
      <c r="H11" t="s">
        <v>1</v>
      </c>
      <c r="I11" t="s">
        <v>13</v>
      </c>
      <c r="J11">
        <v>6</v>
      </c>
      <c r="K11">
        <v>90</v>
      </c>
      <c r="L11">
        <v>540</v>
      </c>
    </row>
    <row r="12" spans="1:12" x14ac:dyDescent="0.25">
      <c r="A12" s="1">
        <v>45668</v>
      </c>
      <c r="B12">
        <v>2025</v>
      </c>
      <c r="C12" t="s">
        <v>30</v>
      </c>
      <c r="D12" t="s">
        <v>17</v>
      </c>
      <c r="E12" t="s">
        <v>24</v>
      </c>
      <c r="F12" t="s">
        <v>9</v>
      </c>
      <c r="G12" t="s">
        <v>29</v>
      </c>
      <c r="H12" t="s">
        <v>14</v>
      </c>
      <c r="I12" t="s">
        <v>13</v>
      </c>
      <c r="J12">
        <v>1</v>
      </c>
      <c r="K12">
        <v>212</v>
      </c>
      <c r="L12">
        <v>212</v>
      </c>
    </row>
    <row r="13" spans="1:12" x14ac:dyDescent="0.25">
      <c r="A13" s="1">
        <v>45669</v>
      </c>
      <c r="B13">
        <v>2025</v>
      </c>
      <c r="C13" t="s">
        <v>30</v>
      </c>
      <c r="D13" t="s">
        <v>26</v>
      </c>
      <c r="E13" t="s">
        <v>16</v>
      </c>
      <c r="F13" t="s">
        <v>19</v>
      </c>
      <c r="G13" t="s">
        <v>28</v>
      </c>
      <c r="H13" t="s">
        <v>1</v>
      </c>
      <c r="I13" t="s">
        <v>13</v>
      </c>
      <c r="J13">
        <v>1</v>
      </c>
      <c r="K13">
        <v>245</v>
      </c>
      <c r="L13">
        <v>245</v>
      </c>
    </row>
    <row r="14" spans="1:12" x14ac:dyDescent="0.25">
      <c r="A14" s="1">
        <v>45670</v>
      </c>
      <c r="B14">
        <v>2025</v>
      </c>
      <c r="C14" t="s">
        <v>30</v>
      </c>
      <c r="D14" t="s">
        <v>22</v>
      </c>
      <c r="E14" t="s">
        <v>10</v>
      </c>
      <c r="F14" t="s">
        <v>9</v>
      </c>
      <c r="G14" t="s">
        <v>20</v>
      </c>
      <c r="H14" t="s">
        <v>1</v>
      </c>
      <c r="I14" t="s">
        <v>0</v>
      </c>
      <c r="J14">
        <v>6</v>
      </c>
      <c r="K14">
        <v>250</v>
      </c>
      <c r="L14">
        <v>1500</v>
      </c>
    </row>
    <row r="15" spans="1:12" x14ac:dyDescent="0.25">
      <c r="A15" s="1">
        <v>45671</v>
      </c>
      <c r="B15">
        <v>2025</v>
      </c>
      <c r="C15" t="s">
        <v>30</v>
      </c>
      <c r="D15" t="s">
        <v>17</v>
      </c>
      <c r="E15" t="s">
        <v>16</v>
      </c>
      <c r="F15" t="s">
        <v>19</v>
      </c>
      <c r="G15" t="s">
        <v>28</v>
      </c>
      <c r="H15" t="s">
        <v>14</v>
      </c>
      <c r="I15" t="s">
        <v>13</v>
      </c>
      <c r="J15">
        <v>6</v>
      </c>
      <c r="K15">
        <v>109</v>
      </c>
      <c r="L15">
        <v>654</v>
      </c>
    </row>
    <row r="16" spans="1:12" x14ac:dyDescent="0.25">
      <c r="A16" s="1">
        <v>45672</v>
      </c>
      <c r="B16">
        <v>2025</v>
      </c>
      <c r="C16" t="s">
        <v>30</v>
      </c>
      <c r="D16" t="s">
        <v>11</v>
      </c>
      <c r="E16" t="s">
        <v>24</v>
      </c>
      <c r="F16" t="s">
        <v>19</v>
      </c>
      <c r="G16" t="s">
        <v>18</v>
      </c>
      <c r="H16" t="s">
        <v>1</v>
      </c>
      <c r="I16" t="s">
        <v>13</v>
      </c>
      <c r="J16">
        <v>4</v>
      </c>
      <c r="K16">
        <v>186</v>
      </c>
      <c r="L16">
        <v>744</v>
      </c>
    </row>
    <row r="17" spans="1:12" x14ac:dyDescent="0.25">
      <c r="A17" s="1">
        <v>45673</v>
      </c>
      <c r="B17">
        <v>2025</v>
      </c>
      <c r="C17" t="s">
        <v>30</v>
      </c>
      <c r="D17" t="s">
        <v>22</v>
      </c>
      <c r="E17" t="s">
        <v>16</v>
      </c>
      <c r="F17" t="s">
        <v>19</v>
      </c>
      <c r="G17" t="s">
        <v>23</v>
      </c>
      <c r="H17" t="s">
        <v>14</v>
      </c>
      <c r="I17" t="s">
        <v>0</v>
      </c>
      <c r="J17">
        <v>1</v>
      </c>
      <c r="K17">
        <v>101</v>
      </c>
      <c r="L17">
        <v>101</v>
      </c>
    </row>
    <row r="18" spans="1:12" x14ac:dyDescent="0.25">
      <c r="A18" s="1">
        <v>45674</v>
      </c>
      <c r="B18">
        <v>2025</v>
      </c>
      <c r="C18" t="s">
        <v>30</v>
      </c>
      <c r="D18" t="s">
        <v>5</v>
      </c>
      <c r="E18" t="s">
        <v>21</v>
      </c>
      <c r="F18" t="s">
        <v>3</v>
      </c>
      <c r="G18" t="s">
        <v>25</v>
      </c>
      <c r="H18" t="s">
        <v>1</v>
      </c>
      <c r="I18" t="s">
        <v>7</v>
      </c>
      <c r="J18">
        <v>5</v>
      </c>
      <c r="K18">
        <v>97</v>
      </c>
      <c r="L18">
        <v>485</v>
      </c>
    </row>
    <row r="19" spans="1:12" x14ac:dyDescent="0.25">
      <c r="A19" s="1">
        <v>45675</v>
      </c>
      <c r="B19">
        <v>2025</v>
      </c>
      <c r="C19" t="s">
        <v>30</v>
      </c>
      <c r="D19" t="s">
        <v>26</v>
      </c>
      <c r="E19" t="s">
        <v>16</v>
      </c>
      <c r="F19" t="s">
        <v>3</v>
      </c>
      <c r="G19" t="s">
        <v>25</v>
      </c>
      <c r="H19" t="s">
        <v>1</v>
      </c>
      <c r="I19" t="s">
        <v>7</v>
      </c>
      <c r="J19">
        <v>5</v>
      </c>
      <c r="K19">
        <v>87</v>
      </c>
      <c r="L19">
        <v>435</v>
      </c>
    </row>
    <row r="20" spans="1:12" x14ac:dyDescent="0.25">
      <c r="A20" s="1">
        <v>45676</v>
      </c>
      <c r="B20">
        <v>2025</v>
      </c>
      <c r="C20" t="s">
        <v>30</v>
      </c>
      <c r="D20" t="s">
        <v>11</v>
      </c>
      <c r="E20" t="s">
        <v>4</v>
      </c>
      <c r="F20" t="s">
        <v>19</v>
      </c>
      <c r="G20" t="s">
        <v>28</v>
      </c>
      <c r="H20" t="s">
        <v>14</v>
      </c>
      <c r="I20" t="s">
        <v>13</v>
      </c>
      <c r="J20">
        <v>3</v>
      </c>
      <c r="K20">
        <v>164</v>
      </c>
      <c r="L20">
        <v>492</v>
      </c>
    </row>
    <row r="21" spans="1:12" x14ac:dyDescent="0.25">
      <c r="A21" s="1">
        <v>45677</v>
      </c>
      <c r="B21">
        <v>2025</v>
      </c>
      <c r="C21" t="s">
        <v>30</v>
      </c>
      <c r="D21" t="s">
        <v>26</v>
      </c>
      <c r="E21" t="s">
        <v>4</v>
      </c>
      <c r="F21" t="s">
        <v>3</v>
      </c>
      <c r="G21" t="s">
        <v>2</v>
      </c>
      <c r="H21" t="s">
        <v>1</v>
      </c>
      <c r="I21" t="s">
        <v>0</v>
      </c>
      <c r="J21">
        <v>5</v>
      </c>
      <c r="K21">
        <v>201</v>
      </c>
      <c r="L21">
        <v>1005</v>
      </c>
    </row>
    <row r="22" spans="1:12" x14ac:dyDescent="0.25">
      <c r="A22" s="1">
        <v>45678</v>
      </c>
      <c r="B22">
        <v>2025</v>
      </c>
      <c r="C22" t="s">
        <v>30</v>
      </c>
      <c r="D22" t="s">
        <v>17</v>
      </c>
      <c r="E22" t="s">
        <v>21</v>
      </c>
      <c r="F22" t="s">
        <v>9</v>
      </c>
      <c r="G22" t="s">
        <v>29</v>
      </c>
      <c r="H22" t="s">
        <v>1</v>
      </c>
      <c r="I22" t="s">
        <v>7</v>
      </c>
      <c r="J22">
        <v>5</v>
      </c>
      <c r="K22">
        <v>128</v>
      </c>
      <c r="L22">
        <v>640</v>
      </c>
    </row>
    <row r="23" spans="1:12" x14ac:dyDescent="0.25">
      <c r="A23" s="1">
        <v>45679</v>
      </c>
      <c r="B23">
        <v>2025</v>
      </c>
      <c r="C23" t="s">
        <v>30</v>
      </c>
      <c r="D23" t="s">
        <v>11</v>
      </c>
      <c r="E23" t="s">
        <v>16</v>
      </c>
      <c r="F23" t="s">
        <v>9</v>
      </c>
      <c r="G23" t="s">
        <v>15</v>
      </c>
      <c r="H23" t="s">
        <v>1</v>
      </c>
      <c r="I23" t="s">
        <v>0</v>
      </c>
      <c r="J23">
        <v>5</v>
      </c>
      <c r="K23">
        <v>223</v>
      </c>
      <c r="L23">
        <v>1115</v>
      </c>
    </row>
    <row r="24" spans="1:12" x14ac:dyDescent="0.25">
      <c r="A24" s="1">
        <v>45680</v>
      </c>
      <c r="B24">
        <v>2025</v>
      </c>
      <c r="C24" t="s">
        <v>30</v>
      </c>
      <c r="D24" t="s">
        <v>17</v>
      </c>
      <c r="E24" t="s">
        <v>10</v>
      </c>
      <c r="F24" t="s">
        <v>3</v>
      </c>
      <c r="G24" t="s">
        <v>25</v>
      </c>
      <c r="H24" t="s">
        <v>1</v>
      </c>
      <c r="I24" t="s">
        <v>7</v>
      </c>
      <c r="J24">
        <v>3</v>
      </c>
      <c r="K24">
        <v>194</v>
      </c>
      <c r="L24">
        <v>582</v>
      </c>
    </row>
    <row r="25" spans="1:12" x14ac:dyDescent="0.25">
      <c r="A25" s="1">
        <v>45681</v>
      </c>
      <c r="B25">
        <v>2025</v>
      </c>
      <c r="C25" t="s">
        <v>30</v>
      </c>
      <c r="D25" t="s">
        <v>11</v>
      </c>
      <c r="E25" t="s">
        <v>16</v>
      </c>
      <c r="F25" t="s">
        <v>9</v>
      </c>
      <c r="G25" t="s">
        <v>20</v>
      </c>
      <c r="H25" t="s">
        <v>14</v>
      </c>
      <c r="I25" t="s">
        <v>7</v>
      </c>
      <c r="J25">
        <v>2</v>
      </c>
      <c r="K25">
        <v>197</v>
      </c>
      <c r="L25">
        <v>394</v>
      </c>
    </row>
    <row r="26" spans="1:12" x14ac:dyDescent="0.25">
      <c r="A26" s="1">
        <v>45682</v>
      </c>
      <c r="B26">
        <v>2025</v>
      </c>
      <c r="C26" t="s">
        <v>30</v>
      </c>
      <c r="D26" t="s">
        <v>26</v>
      </c>
      <c r="E26" t="s">
        <v>16</v>
      </c>
      <c r="F26" t="s">
        <v>19</v>
      </c>
      <c r="G26" t="s">
        <v>28</v>
      </c>
      <c r="H26" t="s">
        <v>1</v>
      </c>
      <c r="I26" t="s">
        <v>0</v>
      </c>
      <c r="J26">
        <v>3</v>
      </c>
      <c r="K26">
        <v>180</v>
      </c>
      <c r="L26">
        <v>540</v>
      </c>
    </row>
    <row r="27" spans="1:12" x14ac:dyDescent="0.25">
      <c r="A27" s="1">
        <v>45683</v>
      </c>
      <c r="B27">
        <v>2025</v>
      </c>
      <c r="C27" t="s">
        <v>30</v>
      </c>
      <c r="D27" t="s">
        <v>26</v>
      </c>
      <c r="E27" t="s">
        <v>16</v>
      </c>
      <c r="F27" t="s">
        <v>19</v>
      </c>
      <c r="G27" t="s">
        <v>18</v>
      </c>
      <c r="H27" t="s">
        <v>1</v>
      </c>
      <c r="I27" t="s">
        <v>7</v>
      </c>
      <c r="J27">
        <v>6</v>
      </c>
      <c r="K27">
        <v>97</v>
      </c>
      <c r="L27">
        <v>582</v>
      </c>
    </row>
    <row r="28" spans="1:12" x14ac:dyDescent="0.25">
      <c r="A28" s="1">
        <v>45684</v>
      </c>
      <c r="B28">
        <v>2025</v>
      </c>
      <c r="C28" t="s">
        <v>30</v>
      </c>
      <c r="D28" t="s">
        <v>5</v>
      </c>
      <c r="E28" t="s">
        <v>10</v>
      </c>
      <c r="F28" t="s">
        <v>19</v>
      </c>
      <c r="G28" t="s">
        <v>28</v>
      </c>
      <c r="H28" t="s">
        <v>1</v>
      </c>
      <c r="I28" t="s">
        <v>0</v>
      </c>
      <c r="J28">
        <v>3</v>
      </c>
      <c r="K28">
        <v>153</v>
      </c>
      <c r="L28">
        <v>459</v>
      </c>
    </row>
    <row r="29" spans="1:12" x14ac:dyDescent="0.25">
      <c r="A29" s="1">
        <v>45685</v>
      </c>
      <c r="B29">
        <v>2025</v>
      </c>
      <c r="C29" t="s">
        <v>30</v>
      </c>
      <c r="D29" t="s">
        <v>17</v>
      </c>
      <c r="E29" t="s">
        <v>10</v>
      </c>
      <c r="F29" t="s">
        <v>3</v>
      </c>
      <c r="G29" t="s">
        <v>2</v>
      </c>
      <c r="H29" t="s">
        <v>14</v>
      </c>
      <c r="I29" t="s">
        <v>7</v>
      </c>
      <c r="J29">
        <v>4</v>
      </c>
      <c r="K29">
        <v>85</v>
      </c>
      <c r="L29">
        <v>340</v>
      </c>
    </row>
    <row r="30" spans="1:12" x14ac:dyDescent="0.25">
      <c r="A30" s="1">
        <v>45686</v>
      </c>
      <c r="B30">
        <v>2025</v>
      </c>
      <c r="C30" t="s">
        <v>30</v>
      </c>
      <c r="D30" t="s">
        <v>26</v>
      </c>
      <c r="E30" t="s">
        <v>21</v>
      </c>
      <c r="F30" t="s">
        <v>3</v>
      </c>
      <c r="G30" t="s">
        <v>2</v>
      </c>
      <c r="H30" t="s">
        <v>14</v>
      </c>
      <c r="I30" t="s">
        <v>7</v>
      </c>
      <c r="J30">
        <v>3</v>
      </c>
      <c r="K30">
        <v>249</v>
      </c>
      <c r="L30">
        <v>747</v>
      </c>
    </row>
    <row r="31" spans="1:12" x14ac:dyDescent="0.25">
      <c r="A31" s="1">
        <v>45687</v>
      </c>
      <c r="B31">
        <v>2025</v>
      </c>
      <c r="C31" t="s">
        <v>30</v>
      </c>
      <c r="D31" t="s">
        <v>11</v>
      </c>
      <c r="E31" t="s">
        <v>24</v>
      </c>
      <c r="F31" t="s">
        <v>3</v>
      </c>
      <c r="G31" t="s">
        <v>25</v>
      </c>
      <c r="H31" t="s">
        <v>14</v>
      </c>
      <c r="I31" t="s">
        <v>0</v>
      </c>
      <c r="J31">
        <v>6</v>
      </c>
      <c r="K31">
        <v>173</v>
      </c>
      <c r="L31">
        <v>1038</v>
      </c>
    </row>
    <row r="32" spans="1:12" x14ac:dyDescent="0.25">
      <c r="A32" s="1">
        <v>45688</v>
      </c>
      <c r="B32">
        <v>2025</v>
      </c>
      <c r="C32" t="s">
        <v>30</v>
      </c>
      <c r="D32" t="s">
        <v>26</v>
      </c>
      <c r="E32" t="s">
        <v>21</v>
      </c>
      <c r="F32" t="s">
        <v>3</v>
      </c>
      <c r="G32" t="s">
        <v>27</v>
      </c>
      <c r="H32" t="s">
        <v>1</v>
      </c>
      <c r="I32" t="s">
        <v>0</v>
      </c>
      <c r="J32">
        <v>1</v>
      </c>
      <c r="K32">
        <v>186</v>
      </c>
      <c r="L32">
        <v>186</v>
      </c>
    </row>
    <row r="33" spans="1:12" x14ac:dyDescent="0.25">
      <c r="A33" s="1">
        <v>45689</v>
      </c>
      <c r="B33">
        <v>2025</v>
      </c>
      <c r="C33" t="s">
        <v>6</v>
      </c>
      <c r="D33" t="s">
        <v>5</v>
      </c>
      <c r="E33" t="s">
        <v>4</v>
      </c>
      <c r="F33" t="s">
        <v>19</v>
      </c>
      <c r="G33" t="s">
        <v>18</v>
      </c>
      <c r="H33" t="s">
        <v>1</v>
      </c>
      <c r="I33" t="s">
        <v>0</v>
      </c>
      <c r="J33">
        <v>5</v>
      </c>
      <c r="K33">
        <v>96</v>
      </c>
      <c r="L33">
        <v>480</v>
      </c>
    </row>
    <row r="34" spans="1:12" x14ac:dyDescent="0.25">
      <c r="A34" s="1">
        <v>45690</v>
      </c>
      <c r="B34">
        <v>2025</v>
      </c>
      <c r="C34" t="s">
        <v>6</v>
      </c>
      <c r="D34" t="s">
        <v>22</v>
      </c>
      <c r="E34" t="s">
        <v>16</v>
      </c>
      <c r="F34" t="s">
        <v>9</v>
      </c>
      <c r="G34" t="s">
        <v>12</v>
      </c>
      <c r="H34" t="s">
        <v>14</v>
      </c>
      <c r="I34" t="s">
        <v>7</v>
      </c>
      <c r="J34">
        <v>2</v>
      </c>
      <c r="K34">
        <v>189</v>
      </c>
      <c r="L34">
        <v>378</v>
      </c>
    </row>
    <row r="35" spans="1:12" x14ac:dyDescent="0.25">
      <c r="A35" s="1">
        <v>45691</v>
      </c>
      <c r="B35">
        <v>2025</v>
      </c>
      <c r="C35" t="s">
        <v>6</v>
      </c>
      <c r="D35" t="s">
        <v>11</v>
      </c>
      <c r="E35" t="s">
        <v>4</v>
      </c>
      <c r="F35" t="s">
        <v>9</v>
      </c>
      <c r="G35" t="s">
        <v>12</v>
      </c>
      <c r="H35" t="s">
        <v>14</v>
      </c>
      <c r="I35" t="s">
        <v>7</v>
      </c>
      <c r="J35">
        <v>6</v>
      </c>
      <c r="K35">
        <v>247</v>
      </c>
      <c r="L35">
        <v>1482</v>
      </c>
    </row>
    <row r="36" spans="1:12" x14ac:dyDescent="0.25">
      <c r="A36" s="1">
        <v>45692</v>
      </c>
      <c r="B36">
        <v>2025</v>
      </c>
      <c r="C36" t="s">
        <v>6</v>
      </c>
      <c r="D36" t="s">
        <v>22</v>
      </c>
      <c r="E36" t="s">
        <v>10</v>
      </c>
      <c r="F36" t="s">
        <v>3</v>
      </c>
      <c r="G36" t="s">
        <v>25</v>
      </c>
      <c r="H36" t="s">
        <v>1</v>
      </c>
      <c r="I36" t="s">
        <v>13</v>
      </c>
      <c r="J36">
        <v>1</v>
      </c>
      <c r="K36">
        <v>157</v>
      </c>
      <c r="L36">
        <v>157</v>
      </c>
    </row>
    <row r="37" spans="1:12" x14ac:dyDescent="0.25">
      <c r="A37" s="1">
        <v>45693</v>
      </c>
      <c r="B37">
        <v>2025</v>
      </c>
      <c r="C37" t="s">
        <v>6</v>
      </c>
      <c r="D37" t="s">
        <v>17</v>
      </c>
      <c r="E37" t="s">
        <v>24</v>
      </c>
      <c r="F37" t="s">
        <v>9</v>
      </c>
      <c r="G37" t="s">
        <v>15</v>
      </c>
      <c r="H37" t="s">
        <v>1</v>
      </c>
      <c r="I37" t="s">
        <v>0</v>
      </c>
      <c r="J37">
        <v>6</v>
      </c>
      <c r="K37">
        <v>152</v>
      </c>
      <c r="L37">
        <v>912</v>
      </c>
    </row>
    <row r="38" spans="1:12" x14ac:dyDescent="0.25">
      <c r="A38" s="1">
        <v>45694</v>
      </c>
      <c r="B38">
        <v>2025</v>
      </c>
      <c r="C38" t="s">
        <v>6</v>
      </c>
      <c r="D38" t="s">
        <v>26</v>
      </c>
      <c r="E38" t="s">
        <v>4</v>
      </c>
      <c r="F38" t="s">
        <v>19</v>
      </c>
      <c r="G38" t="s">
        <v>18</v>
      </c>
      <c r="H38" t="s">
        <v>14</v>
      </c>
      <c r="I38" t="s">
        <v>13</v>
      </c>
      <c r="J38">
        <v>1</v>
      </c>
      <c r="K38">
        <v>176</v>
      </c>
      <c r="L38">
        <v>176</v>
      </c>
    </row>
    <row r="39" spans="1:12" x14ac:dyDescent="0.25">
      <c r="A39" s="1">
        <v>45695</v>
      </c>
      <c r="B39">
        <v>2025</v>
      </c>
      <c r="C39" t="s">
        <v>6</v>
      </c>
      <c r="D39" t="s">
        <v>26</v>
      </c>
      <c r="E39" t="s">
        <v>21</v>
      </c>
      <c r="F39" t="s">
        <v>3</v>
      </c>
      <c r="G39" t="s">
        <v>2</v>
      </c>
      <c r="H39" t="s">
        <v>14</v>
      </c>
      <c r="I39" t="s">
        <v>7</v>
      </c>
      <c r="J39">
        <v>4</v>
      </c>
      <c r="K39">
        <v>227</v>
      </c>
      <c r="L39">
        <v>908</v>
      </c>
    </row>
    <row r="40" spans="1:12" x14ac:dyDescent="0.25">
      <c r="A40" s="1">
        <v>45696</v>
      </c>
      <c r="B40">
        <v>2025</v>
      </c>
      <c r="C40" t="s">
        <v>6</v>
      </c>
      <c r="D40" t="s">
        <v>26</v>
      </c>
      <c r="E40" t="s">
        <v>21</v>
      </c>
      <c r="F40" t="s">
        <v>19</v>
      </c>
      <c r="G40" t="s">
        <v>28</v>
      </c>
      <c r="H40" t="s">
        <v>14</v>
      </c>
      <c r="I40" t="s">
        <v>7</v>
      </c>
      <c r="J40">
        <v>6</v>
      </c>
      <c r="K40">
        <v>226</v>
      </c>
      <c r="L40">
        <v>1356</v>
      </c>
    </row>
    <row r="41" spans="1:12" x14ac:dyDescent="0.25">
      <c r="A41" s="1">
        <v>45697</v>
      </c>
      <c r="B41">
        <v>2025</v>
      </c>
      <c r="C41" t="s">
        <v>6</v>
      </c>
      <c r="D41" t="s">
        <v>26</v>
      </c>
      <c r="E41" t="s">
        <v>4</v>
      </c>
      <c r="F41" t="s">
        <v>3</v>
      </c>
      <c r="G41" t="s">
        <v>25</v>
      </c>
      <c r="H41" t="s">
        <v>1</v>
      </c>
      <c r="I41" t="s">
        <v>13</v>
      </c>
      <c r="J41">
        <v>3</v>
      </c>
      <c r="K41">
        <v>204</v>
      </c>
      <c r="L41">
        <v>612</v>
      </c>
    </row>
    <row r="42" spans="1:12" x14ac:dyDescent="0.25">
      <c r="A42" s="1">
        <v>45698</v>
      </c>
      <c r="B42">
        <v>2025</v>
      </c>
      <c r="C42" t="s">
        <v>6</v>
      </c>
      <c r="D42" t="s">
        <v>11</v>
      </c>
      <c r="E42" t="s">
        <v>10</v>
      </c>
      <c r="F42" t="s">
        <v>9</v>
      </c>
      <c r="G42" t="s">
        <v>29</v>
      </c>
      <c r="H42" t="s">
        <v>1</v>
      </c>
      <c r="I42" t="s">
        <v>13</v>
      </c>
      <c r="J42">
        <v>5</v>
      </c>
      <c r="K42">
        <v>227</v>
      </c>
      <c r="L42">
        <v>1135</v>
      </c>
    </row>
    <row r="43" spans="1:12" x14ac:dyDescent="0.25">
      <c r="A43" s="1">
        <v>45699</v>
      </c>
      <c r="B43">
        <v>2025</v>
      </c>
      <c r="C43" t="s">
        <v>6</v>
      </c>
      <c r="D43" t="s">
        <v>26</v>
      </c>
      <c r="E43" t="s">
        <v>4</v>
      </c>
      <c r="F43" t="s">
        <v>9</v>
      </c>
      <c r="G43" t="s">
        <v>8</v>
      </c>
      <c r="H43" t="s">
        <v>1</v>
      </c>
      <c r="I43" t="s">
        <v>0</v>
      </c>
      <c r="J43">
        <v>6</v>
      </c>
      <c r="K43">
        <v>87</v>
      </c>
      <c r="L43">
        <v>522</v>
      </c>
    </row>
    <row r="44" spans="1:12" x14ac:dyDescent="0.25">
      <c r="A44" s="1">
        <v>45700</v>
      </c>
      <c r="B44">
        <v>2025</v>
      </c>
      <c r="C44" t="s">
        <v>6</v>
      </c>
      <c r="D44" t="s">
        <v>22</v>
      </c>
      <c r="E44" t="s">
        <v>10</v>
      </c>
      <c r="F44" t="s">
        <v>19</v>
      </c>
      <c r="G44" t="s">
        <v>28</v>
      </c>
      <c r="H44" t="s">
        <v>1</v>
      </c>
      <c r="I44" t="s">
        <v>0</v>
      </c>
      <c r="J44">
        <v>3</v>
      </c>
      <c r="K44">
        <v>169</v>
      </c>
      <c r="L44">
        <v>507</v>
      </c>
    </row>
    <row r="45" spans="1:12" x14ac:dyDescent="0.25">
      <c r="A45" s="1">
        <v>45701</v>
      </c>
      <c r="B45">
        <v>2025</v>
      </c>
      <c r="C45" t="s">
        <v>6</v>
      </c>
      <c r="D45" t="s">
        <v>22</v>
      </c>
      <c r="E45" t="s">
        <v>21</v>
      </c>
      <c r="F45" t="s">
        <v>19</v>
      </c>
      <c r="G45" t="s">
        <v>18</v>
      </c>
      <c r="H45" t="s">
        <v>14</v>
      </c>
      <c r="I45" t="s">
        <v>7</v>
      </c>
      <c r="J45">
        <v>2</v>
      </c>
      <c r="K45">
        <v>91</v>
      </c>
      <c r="L45">
        <v>182</v>
      </c>
    </row>
    <row r="46" spans="1:12" x14ac:dyDescent="0.25">
      <c r="A46" s="1">
        <v>45702</v>
      </c>
      <c r="B46">
        <v>2025</v>
      </c>
      <c r="C46" t="s">
        <v>6</v>
      </c>
      <c r="D46" t="s">
        <v>11</v>
      </c>
      <c r="E46" t="s">
        <v>10</v>
      </c>
      <c r="F46" t="s">
        <v>19</v>
      </c>
      <c r="G46" t="s">
        <v>28</v>
      </c>
      <c r="H46" t="s">
        <v>1</v>
      </c>
      <c r="I46" t="s">
        <v>7</v>
      </c>
      <c r="J46">
        <v>6</v>
      </c>
      <c r="K46">
        <v>219</v>
      </c>
      <c r="L46">
        <v>1314</v>
      </c>
    </row>
    <row r="47" spans="1:12" x14ac:dyDescent="0.25">
      <c r="A47" s="1">
        <v>45703</v>
      </c>
      <c r="B47">
        <v>2025</v>
      </c>
      <c r="C47" t="s">
        <v>6</v>
      </c>
      <c r="D47" t="s">
        <v>11</v>
      </c>
      <c r="E47" t="s">
        <v>4</v>
      </c>
      <c r="F47" t="s">
        <v>19</v>
      </c>
      <c r="G47" t="s">
        <v>28</v>
      </c>
      <c r="H47" t="s">
        <v>14</v>
      </c>
      <c r="I47" t="s">
        <v>0</v>
      </c>
      <c r="J47">
        <v>1</v>
      </c>
      <c r="K47">
        <v>169</v>
      </c>
      <c r="L47">
        <v>169</v>
      </c>
    </row>
    <row r="48" spans="1:12" x14ac:dyDescent="0.25">
      <c r="A48" s="1">
        <v>45704</v>
      </c>
      <c r="B48">
        <v>2025</v>
      </c>
      <c r="C48" t="s">
        <v>6</v>
      </c>
      <c r="D48" t="s">
        <v>17</v>
      </c>
      <c r="E48" t="s">
        <v>10</v>
      </c>
      <c r="F48" t="s">
        <v>9</v>
      </c>
      <c r="G48" t="s">
        <v>15</v>
      </c>
      <c r="H48" t="s">
        <v>14</v>
      </c>
      <c r="I48" t="s">
        <v>7</v>
      </c>
      <c r="J48">
        <v>4</v>
      </c>
      <c r="K48">
        <v>177</v>
      </c>
      <c r="L48">
        <v>708</v>
      </c>
    </row>
    <row r="49" spans="1:12" x14ac:dyDescent="0.25">
      <c r="A49" s="1">
        <v>45705</v>
      </c>
      <c r="B49">
        <v>2025</v>
      </c>
      <c r="C49" t="s">
        <v>6</v>
      </c>
      <c r="D49" t="s">
        <v>26</v>
      </c>
      <c r="E49" t="s">
        <v>10</v>
      </c>
      <c r="F49" t="s">
        <v>19</v>
      </c>
      <c r="G49" t="s">
        <v>18</v>
      </c>
      <c r="H49" t="s">
        <v>14</v>
      </c>
      <c r="I49" t="s">
        <v>0</v>
      </c>
      <c r="J49">
        <v>3</v>
      </c>
      <c r="K49">
        <v>177</v>
      </c>
      <c r="L49">
        <v>531</v>
      </c>
    </row>
    <row r="50" spans="1:12" x14ac:dyDescent="0.25">
      <c r="A50" s="1">
        <v>45706</v>
      </c>
      <c r="B50">
        <v>2025</v>
      </c>
      <c r="C50" t="s">
        <v>6</v>
      </c>
      <c r="D50" t="s">
        <v>22</v>
      </c>
      <c r="E50" t="s">
        <v>24</v>
      </c>
      <c r="F50" t="s">
        <v>9</v>
      </c>
      <c r="G50" t="s">
        <v>20</v>
      </c>
      <c r="H50" t="s">
        <v>14</v>
      </c>
      <c r="I50" t="s">
        <v>0</v>
      </c>
      <c r="J50">
        <v>1</v>
      </c>
      <c r="K50">
        <v>187</v>
      </c>
      <c r="L50">
        <v>187</v>
      </c>
    </row>
    <row r="51" spans="1:12" x14ac:dyDescent="0.25">
      <c r="A51" s="1">
        <v>45707</v>
      </c>
      <c r="B51">
        <v>2025</v>
      </c>
      <c r="C51" t="s">
        <v>6</v>
      </c>
      <c r="D51" t="s">
        <v>26</v>
      </c>
      <c r="E51" t="s">
        <v>10</v>
      </c>
      <c r="F51" t="s">
        <v>3</v>
      </c>
      <c r="G51" t="s">
        <v>25</v>
      </c>
      <c r="H51" t="s">
        <v>1</v>
      </c>
      <c r="I51" t="s">
        <v>13</v>
      </c>
      <c r="J51">
        <v>1</v>
      </c>
      <c r="K51">
        <v>151</v>
      </c>
      <c r="L51">
        <v>151</v>
      </c>
    </row>
    <row r="52" spans="1:12" x14ac:dyDescent="0.25">
      <c r="A52" s="1">
        <v>45708</v>
      </c>
      <c r="B52">
        <v>2025</v>
      </c>
      <c r="C52" t="s">
        <v>6</v>
      </c>
      <c r="D52" t="s">
        <v>26</v>
      </c>
      <c r="E52" t="s">
        <v>16</v>
      </c>
      <c r="F52" t="s">
        <v>19</v>
      </c>
      <c r="G52" t="s">
        <v>18</v>
      </c>
      <c r="H52" t="s">
        <v>14</v>
      </c>
      <c r="I52" t="s">
        <v>7</v>
      </c>
      <c r="J52">
        <v>6</v>
      </c>
      <c r="K52">
        <v>124</v>
      </c>
      <c r="L52">
        <v>744</v>
      </c>
    </row>
    <row r="53" spans="1:12" x14ac:dyDescent="0.25">
      <c r="A53" s="1">
        <v>45709</v>
      </c>
      <c r="B53">
        <v>2025</v>
      </c>
      <c r="C53" t="s">
        <v>6</v>
      </c>
      <c r="D53" t="s">
        <v>22</v>
      </c>
      <c r="E53" t="s">
        <v>4</v>
      </c>
      <c r="F53" t="s">
        <v>3</v>
      </c>
      <c r="G53" t="s">
        <v>27</v>
      </c>
      <c r="H53" t="s">
        <v>14</v>
      </c>
      <c r="I53" t="s">
        <v>13</v>
      </c>
      <c r="J53">
        <v>1</v>
      </c>
      <c r="K53">
        <v>227</v>
      </c>
      <c r="L53">
        <v>227</v>
      </c>
    </row>
    <row r="54" spans="1:12" x14ac:dyDescent="0.25">
      <c r="A54" s="1">
        <v>45710</v>
      </c>
      <c r="B54">
        <v>2025</v>
      </c>
      <c r="C54" t="s">
        <v>6</v>
      </c>
      <c r="D54" t="s">
        <v>17</v>
      </c>
      <c r="E54" t="s">
        <v>10</v>
      </c>
      <c r="F54" t="s">
        <v>9</v>
      </c>
      <c r="G54" t="s">
        <v>29</v>
      </c>
      <c r="H54" t="s">
        <v>1</v>
      </c>
      <c r="I54" t="s">
        <v>0</v>
      </c>
      <c r="J54">
        <v>6</v>
      </c>
      <c r="K54">
        <v>240</v>
      </c>
      <c r="L54">
        <v>1440</v>
      </c>
    </row>
    <row r="55" spans="1:12" x14ac:dyDescent="0.25">
      <c r="A55" s="1">
        <v>45711</v>
      </c>
      <c r="B55">
        <v>2025</v>
      </c>
      <c r="C55" t="s">
        <v>6</v>
      </c>
      <c r="D55" t="s">
        <v>11</v>
      </c>
      <c r="E55" t="s">
        <v>16</v>
      </c>
      <c r="F55" t="s">
        <v>3</v>
      </c>
      <c r="G55" t="s">
        <v>25</v>
      </c>
      <c r="H55" t="s">
        <v>1</v>
      </c>
      <c r="I55" t="s">
        <v>0</v>
      </c>
      <c r="J55">
        <v>3</v>
      </c>
      <c r="K55">
        <v>74</v>
      </c>
      <c r="L55">
        <v>222</v>
      </c>
    </row>
    <row r="56" spans="1:12" x14ac:dyDescent="0.25">
      <c r="A56" s="1">
        <v>45712</v>
      </c>
      <c r="B56">
        <v>2025</v>
      </c>
      <c r="C56" t="s">
        <v>6</v>
      </c>
      <c r="D56" t="s">
        <v>11</v>
      </c>
      <c r="E56" t="s">
        <v>21</v>
      </c>
      <c r="F56" t="s">
        <v>19</v>
      </c>
      <c r="G56" t="s">
        <v>23</v>
      </c>
      <c r="H56" t="s">
        <v>14</v>
      </c>
      <c r="I56" t="s">
        <v>0</v>
      </c>
      <c r="J56">
        <v>3</v>
      </c>
      <c r="K56">
        <v>143</v>
      </c>
      <c r="L56">
        <v>429</v>
      </c>
    </row>
    <row r="57" spans="1:12" x14ac:dyDescent="0.25">
      <c r="A57" s="1">
        <v>45713</v>
      </c>
      <c r="B57">
        <v>2025</v>
      </c>
      <c r="C57" t="s">
        <v>6</v>
      </c>
      <c r="D57" t="s">
        <v>5</v>
      </c>
      <c r="E57" t="s">
        <v>21</v>
      </c>
      <c r="F57" t="s">
        <v>9</v>
      </c>
      <c r="G57" t="s">
        <v>12</v>
      </c>
      <c r="H57" t="s">
        <v>14</v>
      </c>
      <c r="I57" t="s">
        <v>0</v>
      </c>
      <c r="J57">
        <v>5</v>
      </c>
      <c r="K57">
        <v>176</v>
      </c>
      <c r="L57">
        <v>880</v>
      </c>
    </row>
    <row r="58" spans="1:12" x14ac:dyDescent="0.25">
      <c r="A58" s="1">
        <v>45714</v>
      </c>
      <c r="B58">
        <v>2025</v>
      </c>
      <c r="C58" t="s">
        <v>6</v>
      </c>
      <c r="D58" t="s">
        <v>17</v>
      </c>
      <c r="E58" t="s">
        <v>21</v>
      </c>
      <c r="F58" t="s">
        <v>19</v>
      </c>
      <c r="G58" t="s">
        <v>23</v>
      </c>
      <c r="H58" t="s">
        <v>14</v>
      </c>
      <c r="I58" t="s">
        <v>7</v>
      </c>
      <c r="J58">
        <v>1</v>
      </c>
      <c r="K58">
        <v>209</v>
      </c>
      <c r="L58">
        <v>209</v>
      </c>
    </row>
    <row r="59" spans="1:12" x14ac:dyDescent="0.25">
      <c r="A59" s="1">
        <v>45715</v>
      </c>
      <c r="B59">
        <v>2025</v>
      </c>
      <c r="C59" t="s">
        <v>6</v>
      </c>
      <c r="D59" t="s">
        <v>17</v>
      </c>
      <c r="E59" t="s">
        <v>10</v>
      </c>
      <c r="F59" t="s">
        <v>9</v>
      </c>
      <c r="G59" t="s">
        <v>15</v>
      </c>
      <c r="H59" t="s">
        <v>1</v>
      </c>
      <c r="I59" t="s">
        <v>13</v>
      </c>
      <c r="J59">
        <v>3</v>
      </c>
      <c r="K59">
        <v>71</v>
      </c>
      <c r="L59">
        <v>213</v>
      </c>
    </row>
    <row r="60" spans="1:12" x14ac:dyDescent="0.25">
      <c r="A60" s="1">
        <v>45716</v>
      </c>
      <c r="B60">
        <v>2025</v>
      </c>
      <c r="C60" t="s">
        <v>6</v>
      </c>
      <c r="D60" t="s">
        <v>17</v>
      </c>
      <c r="E60" t="s">
        <v>24</v>
      </c>
      <c r="F60" t="s">
        <v>9</v>
      </c>
      <c r="G60" t="s">
        <v>20</v>
      </c>
      <c r="H60" t="s">
        <v>1</v>
      </c>
      <c r="I60" t="s">
        <v>0</v>
      </c>
      <c r="J60">
        <v>6</v>
      </c>
      <c r="K60">
        <v>221</v>
      </c>
      <c r="L60">
        <v>1326</v>
      </c>
    </row>
    <row r="61" spans="1:12" x14ac:dyDescent="0.25">
      <c r="A61" s="1">
        <v>45717</v>
      </c>
      <c r="B61">
        <v>2025</v>
      </c>
      <c r="C61" t="s">
        <v>31</v>
      </c>
      <c r="D61" t="s">
        <v>17</v>
      </c>
      <c r="E61" t="s">
        <v>16</v>
      </c>
      <c r="F61" t="s">
        <v>9</v>
      </c>
      <c r="G61" t="s">
        <v>20</v>
      </c>
      <c r="H61" t="s">
        <v>14</v>
      </c>
      <c r="I61" t="s">
        <v>7</v>
      </c>
      <c r="J61">
        <v>5</v>
      </c>
      <c r="K61">
        <v>80</v>
      </c>
      <c r="L61">
        <v>400</v>
      </c>
    </row>
    <row r="62" spans="1:12" x14ac:dyDescent="0.25">
      <c r="A62" s="1">
        <v>45718</v>
      </c>
      <c r="B62">
        <v>2025</v>
      </c>
      <c r="C62" t="s">
        <v>31</v>
      </c>
      <c r="D62" t="s">
        <v>5</v>
      </c>
      <c r="E62" t="s">
        <v>16</v>
      </c>
      <c r="F62" t="s">
        <v>9</v>
      </c>
      <c r="G62" t="s">
        <v>15</v>
      </c>
      <c r="H62" t="s">
        <v>14</v>
      </c>
      <c r="I62" t="s">
        <v>0</v>
      </c>
      <c r="J62">
        <v>2</v>
      </c>
      <c r="K62">
        <v>88</v>
      </c>
      <c r="L62">
        <v>176</v>
      </c>
    </row>
    <row r="63" spans="1:12" x14ac:dyDescent="0.25">
      <c r="A63" s="1">
        <v>45719</v>
      </c>
      <c r="B63">
        <v>2025</v>
      </c>
      <c r="C63" t="s">
        <v>31</v>
      </c>
      <c r="D63" t="s">
        <v>26</v>
      </c>
      <c r="E63" t="s">
        <v>21</v>
      </c>
      <c r="F63" t="s">
        <v>19</v>
      </c>
      <c r="G63" t="s">
        <v>28</v>
      </c>
      <c r="H63" t="s">
        <v>14</v>
      </c>
      <c r="I63" t="s">
        <v>0</v>
      </c>
      <c r="J63">
        <v>4</v>
      </c>
      <c r="K63">
        <v>93</v>
      </c>
      <c r="L63">
        <v>372</v>
      </c>
    </row>
    <row r="64" spans="1:12" x14ac:dyDescent="0.25">
      <c r="A64" s="1">
        <v>45720</v>
      </c>
      <c r="B64">
        <v>2025</v>
      </c>
      <c r="C64" t="s">
        <v>31</v>
      </c>
      <c r="D64" t="s">
        <v>17</v>
      </c>
      <c r="E64" t="s">
        <v>24</v>
      </c>
      <c r="F64" t="s">
        <v>3</v>
      </c>
      <c r="G64" t="s">
        <v>27</v>
      </c>
      <c r="H64" t="s">
        <v>14</v>
      </c>
      <c r="I64" t="s">
        <v>0</v>
      </c>
      <c r="J64">
        <v>4</v>
      </c>
      <c r="K64">
        <v>78</v>
      </c>
      <c r="L64">
        <v>312</v>
      </c>
    </row>
    <row r="65" spans="1:12" x14ac:dyDescent="0.25">
      <c r="A65" s="1">
        <v>45721</v>
      </c>
      <c r="B65">
        <v>2025</v>
      </c>
      <c r="C65" t="s">
        <v>31</v>
      </c>
      <c r="D65" t="s">
        <v>26</v>
      </c>
      <c r="E65" t="s">
        <v>16</v>
      </c>
      <c r="F65" t="s">
        <v>3</v>
      </c>
      <c r="G65" t="s">
        <v>2</v>
      </c>
      <c r="H65" t="s">
        <v>1</v>
      </c>
      <c r="I65" t="s">
        <v>7</v>
      </c>
      <c r="J65">
        <v>1</v>
      </c>
      <c r="K65">
        <v>88</v>
      </c>
      <c r="L65">
        <v>88</v>
      </c>
    </row>
    <row r="66" spans="1:12" x14ac:dyDescent="0.25">
      <c r="A66" s="1">
        <v>45722</v>
      </c>
      <c r="B66">
        <v>2025</v>
      </c>
      <c r="C66" t="s">
        <v>31</v>
      </c>
      <c r="D66" t="s">
        <v>22</v>
      </c>
      <c r="E66" t="s">
        <v>10</v>
      </c>
      <c r="F66" t="s">
        <v>9</v>
      </c>
      <c r="G66" t="s">
        <v>15</v>
      </c>
      <c r="H66" t="s">
        <v>14</v>
      </c>
      <c r="I66" t="s">
        <v>7</v>
      </c>
      <c r="J66">
        <v>1</v>
      </c>
      <c r="K66">
        <v>124</v>
      </c>
      <c r="L66">
        <v>124</v>
      </c>
    </row>
    <row r="67" spans="1:12" x14ac:dyDescent="0.25">
      <c r="A67" s="1">
        <v>45723</v>
      </c>
      <c r="B67">
        <v>2025</v>
      </c>
      <c r="C67" t="s">
        <v>31</v>
      </c>
      <c r="D67" t="s">
        <v>5</v>
      </c>
      <c r="E67" t="s">
        <v>10</v>
      </c>
      <c r="F67" t="s">
        <v>19</v>
      </c>
      <c r="G67" t="s">
        <v>18</v>
      </c>
      <c r="H67" t="s">
        <v>1</v>
      </c>
      <c r="I67" t="s">
        <v>7</v>
      </c>
      <c r="J67">
        <v>6</v>
      </c>
      <c r="K67">
        <v>114</v>
      </c>
      <c r="L67">
        <v>684</v>
      </c>
    </row>
    <row r="68" spans="1:12" x14ac:dyDescent="0.25">
      <c r="A68" s="1">
        <v>45724</v>
      </c>
      <c r="B68">
        <v>2025</v>
      </c>
      <c r="C68" t="s">
        <v>31</v>
      </c>
      <c r="D68" t="s">
        <v>17</v>
      </c>
      <c r="E68" t="s">
        <v>4</v>
      </c>
      <c r="F68" t="s">
        <v>3</v>
      </c>
      <c r="G68" t="s">
        <v>25</v>
      </c>
      <c r="H68" t="s">
        <v>1</v>
      </c>
      <c r="I68" t="s">
        <v>7</v>
      </c>
      <c r="J68">
        <v>3</v>
      </c>
      <c r="K68">
        <v>196</v>
      </c>
      <c r="L68">
        <v>588</v>
      </c>
    </row>
    <row r="69" spans="1:12" x14ac:dyDescent="0.25">
      <c r="A69" s="1">
        <v>45725</v>
      </c>
      <c r="B69">
        <v>2025</v>
      </c>
      <c r="C69" t="s">
        <v>31</v>
      </c>
      <c r="D69" t="s">
        <v>22</v>
      </c>
      <c r="E69" t="s">
        <v>21</v>
      </c>
      <c r="F69" t="s">
        <v>9</v>
      </c>
      <c r="G69" t="s">
        <v>12</v>
      </c>
      <c r="H69" t="s">
        <v>1</v>
      </c>
      <c r="I69" t="s">
        <v>13</v>
      </c>
      <c r="J69">
        <v>4</v>
      </c>
      <c r="K69">
        <v>155</v>
      </c>
      <c r="L69">
        <v>620</v>
      </c>
    </row>
    <row r="70" spans="1:12" x14ac:dyDescent="0.25">
      <c r="A70" s="1">
        <v>45726</v>
      </c>
      <c r="B70">
        <v>2025</v>
      </c>
      <c r="C70" t="s">
        <v>31</v>
      </c>
      <c r="D70" t="s">
        <v>26</v>
      </c>
      <c r="E70" t="s">
        <v>21</v>
      </c>
      <c r="F70" t="s">
        <v>19</v>
      </c>
      <c r="G70" t="s">
        <v>23</v>
      </c>
      <c r="H70" t="s">
        <v>1</v>
      </c>
      <c r="I70" t="s">
        <v>0</v>
      </c>
      <c r="J70">
        <v>3</v>
      </c>
      <c r="K70">
        <v>84</v>
      </c>
      <c r="L70">
        <v>252</v>
      </c>
    </row>
    <row r="71" spans="1:12" x14ac:dyDescent="0.25">
      <c r="A71" s="1">
        <v>45727</v>
      </c>
      <c r="B71">
        <v>2025</v>
      </c>
      <c r="C71" t="s">
        <v>31</v>
      </c>
      <c r="D71" t="s">
        <v>26</v>
      </c>
      <c r="E71" t="s">
        <v>4</v>
      </c>
      <c r="F71" t="s">
        <v>9</v>
      </c>
      <c r="G71" t="s">
        <v>20</v>
      </c>
      <c r="H71" t="s">
        <v>1</v>
      </c>
      <c r="I71" t="s">
        <v>13</v>
      </c>
      <c r="J71">
        <v>2</v>
      </c>
      <c r="K71">
        <v>134</v>
      </c>
      <c r="L71">
        <v>268</v>
      </c>
    </row>
    <row r="72" spans="1:12" x14ac:dyDescent="0.25">
      <c r="A72" s="1">
        <v>45728</v>
      </c>
      <c r="B72">
        <v>2025</v>
      </c>
      <c r="C72" t="s">
        <v>31</v>
      </c>
      <c r="D72" t="s">
        <v>22</v>
      </c>
      <c r="E72" t="s">
        <v>10</v>
      </c>
      <c r="F72" t="s">
        <v>19</v>
      </c>
      <c r="G72" t="s">
        <v>23</v>
      </c>
      <c r="H72" t="s">
        <v>1</v>
      </c>
      <c r="I72" t="s">
        <v>0</v>
      </c>
      <c r="J72">
        <v>1</v>
      </c>
      <c r="K72">
        <v>234</v>
      </c>
      <c r="L72">
        <v>234</v>
      </c>
    </row>
    <row r="73" spans="1:12" x14ac:dyDescent="0.25">
      <c r="A73" s="1">
        <v>45729</v>
      </c>
      <c r="B73">
        <v>2025</v>
      </c>
      <c r="C73" t="s">
        <v>31</v>
      </c>
      <c r="D73" t="s">
        <v>22</v>
      </c>
      <c r="E73" t="s">
        <v>16</v>
      </c>
      <c r="F73" t="s">
        <v>19</v>
      </c>
      <c r="G73" t="s">
        <v>28</v>
      </c>
      <c r="H73" t="s">
        <v>14</v>
      </c>
      <c r="I73" t="s">
        <v>0</v>
      </c>
      <c r="J73">
        <v>3</v>
      </c>
      <c r="K73">
        <v>184</v>
      </c>
      <c r="L73">
        <v>552</v>
      </c>
    </row>
    <row r="74" spans="1:12" x14ac:dyDescent="0.25">
      <c r="A74" s="1">
        <v>45730</v>
      </c>
      <c r="B74">
        <v>2025</v>
      </c>
      <c r="C74" t="s">
        <v>31</v>
      </c>
      <c r="D74" t="s">
        <v>22</v>
      </c>
      <c r="E74" t="s">
        <v>24</v>
      </c>
      <c r="F74" t="s">
        <v>3</v>
      </c>
      <c r="G74" t="s">
        <v>27</v>
      </c>
      <c r="H74" t="s">
        <v>1</v>
      </c>
      <c r="I74" t="s">
        <v>0</v>
      </c>
      <c r="J74">
        <v>1</v>
      </c>
      <c r="K74">
        <v>175</v>
      </c>
      <c r="L74">
        <v>175</v>
      </c>
    </row>
    <row r="75" spans="1:12" x14ac:dyDescent="0.25">
      <c r="A75" s="1">
        <v>45731</v>
      </c>
      <c r="B75">
        <v>2025</v>
      </c>
      <c r="C75" t="s">
        <v>31</v>
      </c>
      <c r="D75" t="s">
        <v>26</v>
      </c>
      <c r="E75" t="s">
        <v>24</v>
      </c>
      <c r="F75" t="s">
        <v>3</v>
      </c>
      <c r="G75" t="s">
        <v>25</v>
      </c>
      <c r="H75" t="s">
        <v>14</v>
      </c>
      <c r="I75" t="s">
        <v>13</v>
      </c>
      <c r="J75">
        <v>3</v>
      </c>
      <c r="K75">
        <v>234</v>
      </c>
      <c r="L75">
        <v>702</v>
      </c>
    </row>
    <row r="76" spans="1:12" x14ac:dyDescent="0.25">
      <c r="A76" s="1">
        <v>45732</v>
      </c>
      <c r="B76">
        <v>2025</v>
      </c>
      <c r="C76" t="s">
        <v>31</v>
      </c>
      <c r="D76" t="s">
        <v>22</v>
      </c>
      <c r="E76" t="s">
        <v>10</v>
      </c>
      <c r="F76" t="s">
        <v>19</v>
      </c>
      <c r="G76" t="s">
        <v>28</v>
      </c>
      <c r="H76" t="s">
        <v>14</v>
      </c>
      <c r="I76" t="s">
        <v>0</v>
      </c>
      <c r="J76">
        <v>2</v>
      </c>
      <c r="K76">
        <v>177</v>
      </c>
      <c r="L76">
        <v>354</v>
      </c>
    </row>
    <row r="77" spans="1:12" x14ac:dyDescent="0.25">
      <c r="A77" s="1">
        <v>45733</v>
      </c>
      <c r="B77">
        <v>2025</v>
      </c>
      <c r="C77" t="s">
        <v>31</v>
      </c>
      <c r="D77" t="s">
        <v>5</v>
      </c>
      <c r="E77" t="s">
        <v>24</v>
      </c>
      <c r="F77" t="s">
        <v>3</v>
      </c>
      <c r="G77" t="s">
        <v>2</v>
      </c>
      <c r="H77" t="s">
        <v>1</v>
      </c>
      <c r="I77" t="s">
        <v>13</v>
      </c>
      <c r="J77">
        <v>2</v>
      </c>
      <c r="K77">
        <v>165</v>
      </c>
      <c r="L77">
        <v>330</v>
      </c>
    </row>
    <row r="78" spans="1:12" x14ac:dyDescent="0.25">
      <c r="A78" s="1">
        <v>45734</v>
      </c>
      <c r="B78">
        <v>2025</v>
      </c>
      <c r="C78" t="s">
        <v>31</v>
      </c>
      <c r="D78" t="s">
        <v>22</v>
      </c>
      <c r="E78" t="s">
        <v>10</v>
      </c>
      <c r="F78" t="s">
        <v>19</v>
      </c>
      <c r="G78" t="s">
        <v>28</v>
      </c>
      <c r="H78" t="s">
        <v>14</v>
      </c>
      <c r="I78" t="s">
        <v>13</v>
      </c>
      <c r="J78">
        <v>4</v>
      </c>
      <c r="K78">
        <v>126</v>
      </c>
      <c r="L78">
        <v>504</v>
      </c>
    </row>
    <row r="79" spans="1:12" x14ac:dyDescent="0.25">
      <c r="A79" s="1">
        <v>45735</v>
      </c>
      <c r="B79">
        <v>2025</v>
      </c>
      <c r="C79" t="s">
        <v>31</v>
      </c>
      <c r="D79" t="s">
        <v>11</v>
      </c>
      <c r="E79" t="s">
        <v>10</v>
      </c>
      <c r="F79" t="s">
        <v>19</v>
      </c>
      <c r="G79" t="s">
        <v>28</v>
      </c>
      <c r="H79" t="s">
        <v>1</v>
      </c>
      <c r="I79" t="s">
        <v>0</v>
      </c>
      <c r="J79">
        <v>6</v>
      </c>
      <c r="K79">
        <v>189</v>
      </c>
      <c r="L79">
        <v>1134</v>
      </c>
    </row>
    <row r="80" spans="1:12" x14ac:dyDescent="0.25">
      <c r="A80" s="1">
        <v>45736</v>
      </c>
      <c r="B80">
        <v>2025</v>
      </c>
      <c r="C80" t="s">
        <v>31</v>
      </c>
      <c r="D80" t="s">
        <v>11</v>
      </c>
      <c r="E80" t="s">
        <v>4</v>
      </c>
      <c r="F80" t="s">
        <v>3</v>
      </c>
      <c r="G80" t="s">
        <v>27</v>
      </c>
      <c r="H80" t="s">
        <v>1</v>
      </c>
      <c r="I80" t="s">
        <v>7</v>
      </c>
      <c r="J80">
        <v>6</v>
      </c>
      <c r="K80">
        <v>202</v>
      </c>
      <c r="L80">
        <v>1212</v>
      </c>
    </row>
    <row r="81" spans="1:12" x14ac:dyDescent="0.25">
      <c r="A81" s="1">
        <v>45737</v>
      </c>
      <c r="B81">
        <v>2025</v>
      </c>
      <c r="C81" t="s">
        <v>31</v>
      </c>
      <c r="D81" t="s">
        <v>26</v>
      </c>
      <c r="E81" t="s">
        <v>24</v>
      </c>
      <c r="F81" t="s">
        <v>3</v>
      </c>
      <c r="G81" t="s">
        <v>2</v>
      </c>
      <c r="H81" t="s">
        <v>1</v>
      </c>
      <c r="I81" t="s">
        <v>13</v>
      </c>
      <c r="J81">
        <v>6</v>
      </c>
      <c r="K81">
        <v>227</v>
      </c>
      <c r="L81">
        <v>1362</v>
      </c>
    </row>
    <row r="82" spans="1:12" x14ac:dyDescent="0.25">
      <c r="A82" s="1">
        <v>45738</v>
      </c>
      <c r="B82">
        <v>2025</v>
      </c>
      <c r="C82" t="s">
        <v>31</v>
      </c>
      <c r="D82" t="s">
        <v>11</v>
      </c>
      <c r="E82" t="s">
        <v>21</v>
      </c>
      <c r="F82" t="s">
        <v>9</v>
      </c>
      <c r="G82" t="s">
        <v>15</v>
      </c>
      <c r="H82" t="s">
        <v>1</v>
      </c>
      <c r="I82" t="s">
        <v>7</v>
      </c>
      <c r="J82">
        <v>1</v>
      </c>
      <c r="K82">
        <v>173</v>
      </c>
      <c r="L82">
        <v>173</v>
      </c>
    </row>
    <row r="83" spans="1:12" x14ac:dyDescent="0.25">
      <c r="A83" s="1">
        <v>45739</v>
      </c>
      <c r="B83">
        <v>2025</v>
      </c>
      <c r="C83" t="s">
        <v>31</v>
      </c>
      <c r="D83" t="s">
        <v>11</v>
      </c>
      <c r="E83" t="s">
        <v>24</v>
      </c>
      <c r="F83" t="s">
        <v>3</v>
      </c>
      <c r="G83" t="s">
        <v>25</v>
      </c>
      <c r="H83" t="s">
        <v>1</v>
      </c>
      <c r="I83" t="s">
        <v>0</v>
      </c>
      <c r="J83">
        <v>2</v>
      </c>
      <c r="K83">
        <v>146</v>
      </c>
      <c r="L83">
        <v>292</v>
      </c>
    </row>
    <row r="84" spans="1:12" x14ac:dyDescent="0.25">
      <c r="A84" s="1">
        <v>45740</v>
      </c>
      <c r="B84">
        <v>2025</v>
      </c>
      <c r="C84" t="s">
        <v>31</v>
      </c>
      <c r="D84" t="s">
        <v>11</v>
      </c>
      <c r="E84" t="s">
        <v>4</v>
      </c>
      <c r="F84" t="s">
        <v>3</v>
      </c>
      <c r="G84" t="s">
        <v>27</v>
      </c>
      <c r="H84" t="s">
        <v>14</v>
      </c>
      <c r="I84" t="s">
        <v>13</v>
      </c>
      <c r="J84">
        <v>2</v>
      </c>
      <c r="K84">
        <v>165</v>
      </c>
      <c r="L84">
        <v>330</v>
      </c>
    </row>
    <row r="85" spans="1:12" x14ac:dyDescent="0.25">
      <c r="A85" s="1">
        <v>45741</v>
      </c>
      <c r="B85">
        <v>2025</v>
      </c>
      <c r="C85" t="s">
        <v>31</v>
      </c>
      <c r="D85" t="s">
        <v>22</v>
      </c>
      <c r="E85" t="s">
        <v>24</v>
      </c>
      <c r="F85" t="s">
        <v>3</v>
      </c>
      <c r="G85" t="s">
        <v>27</v>
      </c>
      <c r="H85" t="s">
        <v>1</v>
      </c>
      <c r="I85" t="s">
        <v>0</v>
      </c>
      <c r="J85">
        <v>2</v>
      </c>
      <c r="K85">
        <v>246</v>
      </c>
      <c r="L85">
        <v>492</v>
      </c>
    </row>
    <row r="86" spans="1:12" x14ac:dyDescent="0.25">
      <c r="A86" s="1">
        <v>45742</v>
      </c>
      <c r="B86">
        <v>2025</v>
      </c>
      <c r="C86" t="s">
        <v>31</v>
      </c>
      <c r="D86" t="s">
        <v>17</v>
      </c>
      <c r="E86" t="s">
        <v>4</v>
      </c>
      <c r="F86" t="s">
        <v>9</v>
      </c>
      <c r="G86" t="s">
        <v>12</v>
      </c>
      <c r="H86" t="s">
        <v>14</v>
      </c>
      <c r="I86" t="s">
        <v>7</v>
      </c>
      <c r="J86">
        <v>4</v>
      </c>
      <c r="K86">
        <v>213</v>
      </c>
      <c r="L86">
        <v>852</v>
      </c>
    </row>
    <row r="87" spans="1:12" x14ac:dyDescent="0.25">
      <c r="A87" s="1">
        <v>45743</v>
      </c>
      <c r="B87">
        <v>2025</v>
      </c>
      <c r="C87" t="s">
        <v>31</v>
      </c>
      <c r="D87" t="s">
        <v>22</v>
      </c>
      <c r="E87" t="s">
        <v>16</v>
      </c>
      <c r="F87" t="s">
        <v>3</v>
      </c>
      <c r="G87" t="s">
        <v>25</v>
      </c>
      <c r="H87" t="s">
        <v>14</v>
      </c>
      <c r="I87" t="s">
        <v>0</v>
      </c>
      <c r="J87">
        <v>1</v>
      </c>
      <c r="K87">
        <v>183</v>
      </c>
      <c r="L87">
        <v>183</v>
      </c>
    </row>
    <row r="88" spans="1:12" x14ac:dyDescent="0.25">
      <c r="A88" s="1">
        <v>45744</v>
      </c>
      <c r="B88">
        <v>2025</v>
      </c>
      <c r="C88" t="s">
        <v>31</v>
      </c>
      <c r="D88" t="s">
        <v>22</v>
      </c>
      <c r="E88" t="s">
        <v>24</v>
      </c>
      <c r="F88" t="s">
        <v>9</v>
      </c>
      <c r="G88" t="s">
        <v>12</v>
      </c>
      <c r="H88" t="s">
        <v>1</v>
      </c>
      <c r="I88" t="s">
        <v>0</v>
      </c>
      <c r="J88">
        <v>3</v>
      </c>
      <c r="K88">
        <v>221</v>
      </c>
      <c r="L88">
        <v>663</v>
      </c>
    </row>
    <row r="89" spans="1:12" x14ac:dyDescent="0.25">
      <c r="A89" s="1">
        <v>45745</v>
      </c>
      <c r="B89">
        <v>2025</v>
      </c>
      <c r="C89" t="s">
        <v>31</v>
      </c>
      <c r="D89" t="s">
        <v>11</v>
      </c>
      <c r="E89" t="s">
        <v>21</v>
      </c>
      <c r="F89" t="s">
        <v>9</v>
      </c>
      <c r="G89" t="s">
        <v>12</v>
      </c>
      <c r="H89" t="s">
        <v>1</v>
      </c>
      <c r="I89" t="s">
        <v>0</v>
      </c>
      <c r="J89">
        <v>1</v>
      </c>
      <c r="K89">
        <v>224</v>
      </c>
      <c r="L89">
        <v>224</v>
      </c>
    </row>
    <row r="90" spans="1:12" x14ac:dyDescent="0.25">
      <c r="A90" s="1">
        <v>45746</v>
      </c>
      <c r="B90">
        <v>2025</v>
      </c>
      <c r="C90" t="s">
        <v>31</v>
      </c>
      <c r="D90" t="s">
        <v>11</v>
      </c>
      <c r="E90" t="s">
        <v>24</v>
      </c>
      <c r="F90" t="s">
        <v>19</v>
      </c>
      <c r="G90" t="s">
        <v>23</v>
      </c>
      <c r="H90" t="s">
        <v>14</v>
      </c>
      <c r="I90" t="s">
        <v>13</v>
      </c>
      <c r="J90">
        <v>4</v>
      </c>
      <c r="K90">
        <v>198</v>
      </c>
      <c r="L90">
        <v>792</v>
      </c>
    </row>
    <row r="91" spans="1:12" x14ac:dyDescent="0.25">
      <c r="A91" s="1">
        <v>45747</v>
      </c>
      <c r="B91">
        <v>2025</v>
      </c>
      <c r="C91" t="s">
        <v>31</v>
      </c>
      <c r="D91" t="s">
        <v>26</v>
      </c>
      <c r="E91" t="s">
        <v>24</v>
      </c>
      <c r="F91" t="s">
        <v>9</v>
      </c>
      <c r="G91" t="s">
        <v>15</v>
      </c>
      <c r="H91" t="s">
        <v>14</v>
      </c>
      <c r="I91" t="s">
        <v>0</v>
      </c>
      <c r="J91">
        <v>6</v>
      </c>
      <c r="K91">
        <v>170</v>
      </c>
      <c r="L91">
        <v>1020</v>
      </c>
    </row>
    <row r="92" spans="1:12" x14ac:dyDescent="0.25">
      <c r="A92" s="1">
        <v>45658</v>
      </c>
      <c r="B92">
        <v>2025</v>
      </c>
      <c r="C92" t="s">
        <v>30</v>
      </c>
      <c r="D92" t="s">
        <v>26</v>
      </c>
      <c r="E92" t="s">
        <v>10</v>
      </c>
      <c r="F92" t="s">
        <v>3</v>
      </c>
      <c r="G92" t="s">
        <v>25</v>
      </c>
      <c r="H92" t="s">
        <v>1</v>
      </c>
      <c r="I92" t="s">
        <v>0</v>
      </c>
      <c r="J92">
        <v>4</v>
      </c>
      <c r="K92">
        <v>106</v>
      </c>
      <c r="L92">
        <v>424</v>
      </c>
    </row>
    <row r="93" spans="1:12" x14ac:dyDescent="0.25">
      <c r="A93" s="1">
        <v>45659</v>
      </c>
      <c r="B93">
        <v>2025</v>
      </c>
      <c r="C93" t="s">
        <v>30</v>
      </c>
      <c r="D93" t="s">
        <v>22</v>
      </c>
      <c r="E93" t="s">
        <v>21</v>
      </c>
      <c r="F93" t="s">
        <v>9</v>
      </c>
      <c r="G93" t="s">
        <v>20</v>
      </c>
      <c r="H93" t="s">
        <v>14</v>
      </c>
      <c r="I93" t="s">
        <v>0</v>
      </c>
      <c r="J93">
        <v>2</v>
      </c>
      <c r="K93">
        <v>84</v>
      </c>
      <c r="L93">
        <v>168</v>
      </c>
    </row>
    <row r="94" spans="1:12" x14ac:dyDescent="0.25">
      <c r="A94" s="1">
        <v>45660</v>
      </c>
      <c r="B94">
        <v>2025</v>
      </c>
      <c r="C94" t="s">
        <v>30</v>
      </c>
      <c r="D94" t="s">
        <v>17</v>
      </c>
      <c r="E94" t="s">
        <v>24</v>
      </c>
      <c r="F94" t="s">
        <v>3</v>
      </c>
      <c r="G94" t="s">
        <v>27</v>
      </c>
      <c r="H94" t="s">
        <v>1</v>
      </c>
      <c r="I94" t="s">
        <v>13</v>
      </c>
      <c r="J94">
        <v>3</v>
      </c>
      <c r="K94">
        <v>226</v>
      </c>
      <c r="L94">
        <v>678</v>
      </c>
    </row>
    <row r="95" spans="1:12" x14ac:dyDescent="0.25">
      <c r="A95" s="1">
        <v>45661</v>
      </c>
      <c r="B95">
        <v>2025</v>
      </c>
      <c r="C95" t="s">
        <v>30</v>
      </c>
      <c r="D95" t="s">
        <v>11</v>
      </c>
      <c r="E95" t="s">
        <v>16</v>
      </c>
      <c r="F95" t="s">
        <v>3</v>
      </c>
      <c r="G95" t="s">
        <v>25</v>
      </c>
      <c r="H95" t="s">
        <v>14</v>
      </c>
      <c r="I95" t="s">
        <v>7</v>
      </c>
      <c r="J95">
        <v>1</v>
      </c>
      <c r="K95">
        <v>237</v>
      </c>
      <c r="L95">
        <v>237</v>
      </c>
    </row>
    <row r="96" spans="1:12" x14ac:dyDescent="0.25">
      <c r="A96" s="1">
        <v>45662</v>
      </c>
      <c r="B96">
        <v>2025</v>
      </c>
      <c r="C96" t="s">
        <v>30</v>
      </c>
      <c r="D96" t="s">
        <v>5</v>
      </c>
      <c r="E96" t="s">
        <v>24</v>
      </c>
      <c r="F96" t="s">
        <v>19</v>
      </c>
      <c r="G96" t="s">
        <v>28</v>
      </c>
      <c r="H96" t="s">
        <v>14</v>
      </c>
      <c r="I96" t="s">
        <v>0</v>
      </c>
      <c r="J96">
        <v>2</v>
      </c>
      <c r="K96">
        <v>128</v>
      </c>
      <c r="L96">
        <v>256</v>
      </c>
    </row>
    <row r="97" spans="1:12" x14ac:dyDescent="0.25">
      <c r="A97" s="1">
        <v>45663</v>
      </c>
      <c r="B97">
        <v>2025</v>
      </c>
      <c r="C97" t="s">
        <v>30</v>
      </c>
      <c r="D97" t="s">
        <v>22</v>
      </c>
      <c r="E97" t="s">
        <v>24</v>
      </c>
      <c r="F97" t="s">
        <v>19</v>
      </c>
      <c r="G97" t="s">
        <v>18</v>
      </c>
      <c r="H97" t="s">
        <v>1</v>
      </c>
      <c r="I97" t="s">
        <v>7</v>
      </c>
      <c r="J97">
        <v>3</v>
      </c>
      <c r="K97">
        <v>200</v>
      </c>
      <c r="L97">
        <v>600</v>
      </c>
    </row>
    <row r="98" spans="1:12" x14ac:dyDescent="0.25">
      <c r="A98" s="1">
        <v>45664</v>
      </c>
      <c r="B98">
        <v>2025</v>
      </c>
      <c r="C98" t="s">
        <v>30</v>
      </c>
      <c r="D98" t="s">
        <v>22</v>
      </c>
      <c r="E98" t="s">
        <v>16</v>
      </c>
      <c r="F98" t="s">
        <v>3</v>
      </c>
      <c r="G98" t="s">
        <v>25</v>
      </c>
      <c r="H98" t="s">
        <v>1</v>
      </c>
      <c r="I98" t="s">
        <v>13</v>
      </c>
      <c r="J98">
        <v>2</v>
      </c>
      <c r="K98">
        <v>114</v>
      </c>
      <c r="L98">
        <v>228</v>
      </c>
    </row>
    <row r="99" spans="1:12" x14ac:dyDescent="0.25">
      <c r="A99" s="1">
        <v>45665</v>
      </c>
      <c r="B99">
        <v>2025</v>
      </c>
      <c r="C99" t="s">
        <v>30</v>
      </c>
      <c r="D99" t="s">
        <v>5</v>
      </c>
      <c r="E99" t="s">
        <v>4</v>
      </c>
      <c r="F99" t="s">
        <v>9</v>
      </c>
      <c r="G99" t="s">
        <v>20</v>
      </c>
      <c r="H99" t="s">
        <v>14</v>
      </c>
      <c r="I99" t="s">
        <v>13</v>
      </c>
      <c r="J99">
        <v>1</v>
      </c>
      <c r="K99">
        <v>98</v>
      </c>
      <c r="L99">
        <v>98</v>
      </c>
    </row>
    <row r="100" spans="1:12" x14ac:dyDescent="0.25">
      <c r="A100" s="1">
        <v>45666</v>
      </c>
      <c r="B100">
        <v>2025</v>
      </c>
      <c r="C100" t="s">
        <v>30</v>
      </c>
      <c r="D100" t="s">
        <v>22</v>
      </c>
      <c r="E100" t="s">
        <v>24</v>
      </c>
      <c r="F100" t="s">
        <v>19</v>
      </c>
      <c r="G100" t="s">
        <v>23</v>
      </c>
      <c r="H100" t="s">
        <v>1</v>
      </c>
      <c r="I100" t="s">
        <v>13</v>
      </c>
      <c r="J100">
        <v>6</v>
      </c>
      <c r="K100">
        <v>121</v>
      </c>
      <c r="L100">
        <v>726</v>
      </c>
    </row>
    <row r="101" spans="1:12" x14ac:dyDescent="0.25">
      <c r="A101" s="1">
        <v>45667</v>
      </c>
      <c r="B101">
        <v>2025</v>
      </c>
      <c r="C101" t="s">
        <v>30</v>
      </c>
      <c r="D101" t="s">
        <v>26</v>
      </c>
      <c r="E101" t="s">
        <v>10</v>
      </c>
      <c r="F101" t="s">
        <v>3</v>
      </c>
      <c r="G101" t="s">
        <v>27</v>
      </c>
      <c r="H101" t="s">
        <v>14</v>
      </c>
      <c r="I101" t="s">
        <v>13</v>
      </c>
      <c r="J101">
        <v>1</v>
      </c>
      <c r="K101">
        <v>185</v>
      </c>
      <c r="L101">
        <v>185</v>
      </c>
    </row>
    <row r="102" spans="1:12" x14ac:dyDescent="0.25">
      <c r="A102" s="1">
        <v>45668</v>
      </c>
      <c r="B102">
        <v>2025</v>
      </c>
      <c r="C102" t="s">
        <v>30</v>
      </c>
      <c r="D102" t="s">
        <v>26</v>
      </c>
      <c r="E102" t="s">
        <v>24</v>
      </c>
      <c r="F102" t="s">
        <v>9</v>
      </c>
      <c r="G102" t="s">
        <v>8</v>
      </c>
      <c r="H102" t="s">
        <v>1</v>
      </c>
      <c r="I102" t="s">
        <v>0</v>
      </c>
      <c r="J102">
        <v>6</v>
      </c>
      <c r="K102">
        <v>223</v>
      </c>
      <c r="L102">
        <v>1338</v>
      </c>
    </row>
    <row r="103" spans="1:12" x14ac:dyDescent="0.25">
      <c r="A103" s="1">
        <v>45669</v>
      </c>
      <c r="B103">
        <v>2025</v>
      </c>
      <c r="C103" t="s">
        <v>30</v>
      </c>
      <c r="D103" t="s">
        <v>17</v>
      </c>
      <c r="E103" t="s">
        <v>10</v>
      </c>
      <c r="F103" t="s">
        <v>9</v>
      </c>
      <c r="G103" t="s">
        <v>12</v>
      </c>
      <c r="H103" t="s">
        <v>1</v>
      </c>
      <c r="I103" t="s">
        <v>0</v>
      </c>
      <c r="J103">
        <v>5</v>
      </c>
      <c r="K103">
        <v>192</v>
      </c>
      <c r="L103">
        <v>960</v>
      </c>
    </row>
    <row r="104" spans="1:12" x14ac:dyDescent="0.25">
      <c r="A104" s="1">
        <v>45670</v>
      </c>
      <c r="B104">
        <v>2025</v>
      </c>
      <c r="C104" t="s">
        <v>30</v>
      </c>
      <c r="D104" t="s">
        <v>5</v>
      </c>
      <c r="E104" t="s">
        <v>16</v>
      </c>
      <c r="F104" t="s">
        <v>3</v>
      </c>
      <c r="G104" t="s">
        <v>27</v>
      </c>
      <c r="H104" t="s">
        <v>14</v>
      </c>
      <c r="I104" t="s">
        <v>0</v>
      </c>
      <c r="J104">
        <v>5</v>
      </c>
      <c r="K104">
        <v>71</v>
      </c>
      <c r="L104">
        <v>355</v>
      </c>
    </row>
    <row r="105" spans="1:12" x14ac:dyDescent="0.25">
      <c r="A105" s="1">
        <v>45671</v>
      </c>
      <c r="B105">
        <v>2025</v>
      </c>
      <c r="C105" t="s">
        <v>30</v>
      </c>
      <c r="D105" t="s">
        <v>26</v>
      </c>
      <c r="E105" t="s">
        <v>24</v>
      </c>
      <c r="F105" t="s">
        <v>3</v>
      </c>
      <c r="G105" t="s">
        <v>2</v>
      </c>
      <c r="H105" t="s">
        <v>14</v>
      </c>
      <c r="I105" t="s">
        <v>7</v>
      </c>
      <c r="J105">
        <v>5</v>
      </c>
      <c r="K105">
        <v>184</v>
      </c>
      <c r="L105">
        <v>920</v>
      </c>
    </row>
    <row r="106" spans="1:12" x14ac:dyDescent="0.25">
      <c r="A106" s="1">
        <v>45672</v>
      </c>
      <c r="B106">
        <v>2025</v>
      </c>
      <c r="C106" t="s">
        <v>30</v>
      </c>
      <c r="D106" t="s">
        <v>17</v>
      </c>
      <c r="E106" t="s">
        <v>21</v>
      </c>
      <c r="F106" t="s">
        <v>9</v>
      </c>
      <c r="G106" t="s">
        <v>29</v>
      </c>
      <c r="H106" t="s">
        <v>14</v>
      </c>
      <c r="I106" t="s">
        <v>7</v>
      </c>
      <c r="J106">
        <v>4</v>
      </c>
      <c r="K106">
        <v>107</v>
      </c>
      <c r="L106">
        <v>428</v>
      </c>
    </row>
    <row r="107" spans="1:12" x14ac:dyDescent="0.25">
      <c r="A107" s="1">
        <v>45673</v>
      </c>
      <c r="B107">
        <v>2025</v>
      </c>
      <c r="C107" t="s">
        <v>30</v>
      </c>
      <c r="D107" t="s">
        <v>17</v>
      </c>
      <c r="E107" t="s">
        <v>24</v>
      </c>
      <c r="F107" t="s">
        <v>9</v>
      </c>
      <c r="G107" t="s">
        <v>15</v>
      </c>
      <c r="H107" t="s">
        <v>1</v>
      </c>
      <c r="I107" t="s">
        <v>7</v>
      </c>
      <c r="J107">
        <v>4</v>
      </c>
      <c r="K107">
        <v>200</v>
      </c>
      <c r="L107">
        <v>800</v>
      </c>
    </row>
    <row r="108" spans="1:12" x14ac:dyDescent="0.25">
      <c r="A108" s="1">
        <v>45674</v>
      </c>
      <c r="B108">
        <v>2025</v>
      </c>
      <c r="C108" t="s">
        <v>30</v>
      </c>
      <c r="D108" t="s">
        <v>17</v>
      </c>
      <c r="E108" t="s">
        <v>4</v>
      </c>
      <c r="F108" t="s">
        <v>9</v>
      </c>
      <c r="G108" t="s">
        <v>12</v>
      </c>
      <c r="H108" t="s">
        <v>14</v>
      </c>
      <c r="I108" t="s">
        <v>7</v>
      </c>
      <c r="J108">
        <v>5</v>
      </c>
      <c r="K108">
        <v>121</v>
      </c>
      <c r="L108">
        <v>605</v>
      </c>
    </row>
    <row r="109" spans="1:12" x14ac:dyDescent="0.25">
      <c r="A109" s="1">
        <v>45675</v>
      </c>
      <c r="B109">
        <v>2025</v>
      </c>
      <c r="C109" t="s">
        <v>30</v>
      </c>
      <c r="D109" t="s">
        <v>11</v>
      </c>
      <c r="E109" t="s">
        <v>4</v>
      </c>
      <c r="F109" t="s">
        <v>3</v>
      </c>
      <c r="G109" t="s">
        <v>25</v>
      </c>
      <c r="H109" t="s">
        <v>1</v>
      </c>
      <c r="I109" t="s">
        <v>7</v>
      </c>
      <c r="J109">
        <v>2</v>
      </c>
      <c r="K109">
        <v>158</v>
      </c>
      <c r="L109">
        <v>316</v>
      </c>
    </row>
    <row r="110" spans="1:12" x14ac:dyDescent="0.25">
      <c r="A110" s="1">
        <v>45676</v>
      </c>
      <c r="B110">
        <v>2025</v>
      </c>
      <c r="C110" t="s">
        <v>30</v>
      </c>
      <c r="D110" t="s">
        <v>22</v>
      </c>
      <c r="E110" t="s">
        <v>21</v>
      </c>
      <c r="F110" t="s">
        <v>3</v>
      </c>
      <c r="G110" t="s">
        <v>2</v>
      </c>
      <c r="H110" t="s">
        <v>14</v>
      </c>
      <c r="I110" t="s">
        <v>7</v>
      </c>
      <c r="J110">
        <v>1</v>
      </c>
      <c r="K110">
        <v>103</v>
      </c>
      <c r="L110">
        <v>103</v>
      </c>
    </row>
    <row r="111" spans="1:12" x14ac:dyDescent="0.25">
      <c r="A111" s="1">
        <v>45677</v>
      </c>
      <c r="B111">
        <v>2025</v>
      </c>
      <c r="C111" t="s">
        <v>30</v>
      </c>
      <c r="D111" t="s">
        <v>17</v>
      </c>
      <c r="E111" t="s">
        <v>21</v>
      </c>
      <c r="F111" t="s">
        <v>19</v>
      </c>
      <c r="G111" t="s">
        <v>28</v>
      </c>
      <c r="H111" t="s">
        <v>1</v>
      </c>
      <c r="I111" t="s">
        <v>7</v>
      </c>
      <c r="J111">
        <v>5</v>
      </c>
      <c r="K111">
        <v>70</v>
      </c>
      <c r="L111">
        <v>350</v>
      </c>
    </row>
    <row r="112" spans="1:12" x14ac:dyDescent="0.25">
      <c r="A112" s="1">
        <v>45678</v>
      </c>
      <c r="B112">
        <v>2025</v>
      </c>
      <c r="C112" t="s">
        <v>30</v>
      </c>
      <c r="D112" t="s">
        <v>22</v>
      </c>
      <c r="E112" t="s">
        <v>16</v>
      </c>
      <c r="F112" t="s">
        <v>3</v>
      </c>
      <c r="G112" t="s">
        <v>25</v>
      </c>
      <c r="H112" t="s">
        <v>1</v>
      </c>
      <c r="I112" t="s">
        <v>0</v>
      </c>
      <c r="J112">
        <v>5</v>
      </c>
      <c r="K112">
        <v>201</v>
      </c>
      <c r="L112">
        <v>1005</v>
      </c>
    </row>
    <row r="113" spans="1:12" x14ac:dyDescent="0.25">
      <c r="A113" s="1">
        <v>45679</v>
      </c>
      <c r="B113">
        <v>2025</v>
      </c>
      <c r="C113" t="s">
        <v>30</v>
      </c>
      <c r="D113" t="s">
        <v>26</v>
      </c>
      <c r="E113" t="s">
        <v>24</v>
      </c>
      <c r="F113" t="s">
        <v>3</v>
      </c>
      <c r="G113" t="s">
        <v>25</v>
      </c>
      <c r="H113" t="s">
        <v>14</v>
      </c>
      <c r="I113" t="s">
        <v>7</v>
      </c>
      <c r="J113">
        <v>5</v>
      </c>
      <c r="K113">
        <v>222</v>
      </c>
      <c r="L113">
        <v>1110</v>
      </c>
    </row>
    <row r="114" spans="1:12" x14ac:dyDescent="0.25">
      <c r="A114" s="1">
        <v>45680</v>
      </c>
      <c r="B114">
        <v>2025</v>
      </c>
      <c r="C114" t="s">
        <v>30</v>
      </c>
      <c r="D114" t="s">
        <v>17</v>
      </c>
      <c r="E114" t="s">
        <v>10</v>
      </c>
      <c r="F114" t="s">
        <v>9</v>
      </c>
      <c r="G114" t="s">
        <v>20</v>
      </c>
      <c r="H114" t="s">
        <v>14</v>
      </c>
      <c r="I114" t="s">
        <v>0</v>
      </c>
      <c r="J114">
        <v>4</v>
      </c>
      <c r="K114">
        <v>118</v>
      </c>
      <c r="L114">
        <v>472</v>
      </c>
    </row>
    <row r="115" spans="1:12" x14ac:dyDescent="0.25">
      <c r="A115" s="1">
        <v>45681</v>
      </c>
      <c r="B115">
        <v>2025</v>
      </c>
      <c r="C115" t="s">
        <v>30</v>
      </c>
      <c r="D115" t="s">
        <v>17</v>
      </c>
      <c r="E115" t="s">
        <v>21</v>
      </c>
      <c r="F115" t="s">
        <v>19</v>
      </c>
      <c r="G115" t="s">
        <v>23</v>
      </c>
      <c r="H115" t="s">
        <v>1</v>
      </c>
      <c r="I115" t="s">
        <v>13</v>
      </c>
      <c r="J115">
        <v>6</v>
      </c>
      <c r="K115">
        <v>155</v>
      </c>
      <c r="L115">
        <v>930</v>
      </c>
    </row>
    <row r="116" spans="1:12" x14ac:dyDescent="0.25">
      <c r="A116" s="1">
        <v>45682</v>
      </c>
      <c r="B116">
        <v>2025</v>
      </c>
      <c r="C116" t="s">
        <v>30</v>
      </c>
      <c r="D116" t="s">
        <v>26</v>
      </c>
      <c r="E116" t="s">
        <v>16</v>
      </c>
      <c r="F116" t="s">
        <v>19</v>
      </c>
      <c r="G116" t="s">
        <v>18</v>
      </c>
      <c r="H116" t="s">
        <v>1</v>
      </c>
      <c r="I116" t="s">
        <v>7</v>
      </c>
      <c r="J116">
        <v>5</v>
      </c>
      <c r="K116">
        <v>176</v>
      </c>
      <c r="L116">
        <v>880</v>
      </c>
    </row>
    <row r="117" spans="1:12" x14ac:dyDescent="0.25">
      <c r="A117" s="1">
        <v>45683</v>
      </c>
      <c r="B117">
        <v>2025</v>
      </c>
      <c r="C117" t="s">
        <v>30</v>
      </c>
      <c r="D117" t="s">
        <v>22</v>
      </c>
      <c r="E117" t="s">
        <v>21</v>
      </c>
      <c r="F117" t="s">
        <v>19</v>
      </c>
      <c r="G117" t="s">
        <v>23</v>
      </c>
      <c r="H117" t="s">
        <v>1</v>
      </c>
      <c r="I117" t="s">
        <v>7</v>
      </c>
      <c r="J117">
        <v>6</v>
      </c>
      <c r="K117">
        <v>137</v>
      </c>
      <c r="L117">
        <v>822</v>
      </c>
    </row>
    <row r="118" spans="1:12" x14ac:dyDescent="0.25">
      <c r="A118" s="1">
        <v>45684</v>
      </c>
      <c r="B118">
        <v>2025</v>
      </c>
      <c r="C118" t="s">
        <v>30</v>
      </c>
      <c r="D118" t="s">
        <v>22</v>
      </c>
      <c r="E118" t="s">
        <v>4</v>
      </c>
      <c r="F118" t="s">
        <v>19</v>
      </c>
      <c r="G118" t="s">
        <v>28</v>
      </c>
      <c r="H118" t="s">
        <v>1</v>
      </c>
      <c r="I118" t="s">
        <v>0</v>
      </c>
      <c r="J118">
        <v>4</v>
      </c>
      <c r="K118">
        <v>195</v>
      </c>
      <c r="L118">
        <v>780</v>
      </c>
    </row>
    <row r="119" spans="1:12" x14ac:dyDescent="0.25">
      <c r="A119" s="1">
        <v>45685</v>
      </c>
      <c r="B119">
        <v>2025</v>
      </c>
      <c r="C119" t="s">
        <v>30</v>
      </c>
      <c r="D119" t="s">
        <v>5</v>
      </c>
      <c r="E119" t="s">
        <v>21</v>
      </c>
      <c r="F119" t="s">
        <v>9</v>
      </c>
      <c r="G119" t="s">
        <v>29</v>
      </c>
      <c r="H119" t="s">
        <v>14</v>
      </c>
      <c r="I119" t="s">
        <v>0</v>
      </c>
      <c r="J119">
        <v>5</v>
      </c>
      <c r="K119">
        <v>88</v>
      </c>
      <c r="L119">
        <v>440</v>
      </c>
    </row>
    <row r="120" spans="1:12" x14ac:dyDescent="0.25">
      <c r="A120" s="1">
        <v>45686</v>
      </c>
      <c r="B120">
        <v>2025</v>
      </c>
      <c r="C120" t="s">
        <v>30</v>
      </c>
      <c r="D120" t="s">
        <v>17</v>
      </c>
      <c r="E120" t="s">
        <v>16</v>
      </c>
      <c r="F120" t="s">
        <v>3</v>
      </c>
      <c r="G120" t="s">
        <v>25</v>
      </c>
      <c r="H120" t="s">
        <v>1</v>
      </c>
      <c r="I120" t="s">
        <v>0</v>
      </c>
      <c r="J120">
        <v>6</v>
      </c>
      <c r="K120">
        <v>173</v>
      </c>
      <c r="L120">
        <v>1038</v>
      </c>
    </row>
    <row r="121" spans="1:12" x14ac:dyDescent="0.25">
      <c r="A121" s="1">
        <v>45687</v>
      </c>
      <c r="B121">
        <v>2025</v>
      </c>
      <c r="C121" t="s">
        <v>30</v>
      </c>
      <c r="D121" t="s">
        <v>17</v>
      </c>
      <c r="E121" t="s">
        <v>4</v>
      </c>
      <c r="F121" t="s">
        <v>19</v>
      </c>
      <c r="G121" t="s">
        <v>23</v>
      </c>
      <c r="H121" t="s">
        <v>14</v>
      </c>
      <c r="I121" t="s">
        <v>13</v>
      </c>
      <c r="J121">
        <v>4</v>
      </c>
      <c r="K121">
        <v>193</v>
      </c>
      <c r="L121">
        <v>772</v>
      </c>
    </row>
    <row r="122" spans="1:12" x14ac:dyDescent="0.25">
      <c r="A122" s="1">
        <v>45688</v>
      </c>
      <c r="B122">
        <v>2025</v>
      </c>
      <c r="C122" t="s">
        <v>30</v>
      </c>
      <c r="D122" t="s">
        <v>22</v>
      </c>
      <c r="E122" t="s">
        <v>10</v>
      </c>
      <c r="F122" t="s">
        <v>3</v>
      </c>
      <c r="G122" t="s">
        <v>25</v>
      </c>
      <c r="H122" t="s">
        <v>1</v>
      </c>
      <c r="I122" t="s">
        <v>0</v>
      </c>
      <c r="J122">
        <v>4</v>
      </c>
      <c r="K122">
        <v>146</v>
      </c>
      <c r="L122">
        <v>584</v>
      </c>
    </row>
    <row r="123" spans="1:12" x14ac:dyDescent="0.25">
      <c r="A123" s="1">
        <v>45689</v>
      </c>
      <c r="B123">
        <v>2025</v>
      </c>
      <c r="C123" t="s">
        <v>6</v>
      </c>
      <c r="D123" t="s">
        <v>22</v>
      </c>
      <c r="E123" t="s">
        <v>21</v>
      </c>
      <c r="F123" t="s">
        <v>3</v>
      </c>
      <c r="G123" t="s">
        <v>27</v>
      </c>
      <c r="H123" t="s">
        <v>1</v>
      </c>
      <c r="I123" t="s">
        <v>0</v>
      </c>
      <c r="J123">
        <v>3</v>
      </c>
      <c r="K123">
        <v>162</v>
      </c>
      <c r="L123">
        <v>486</v>
      </c>
    </row>
    <row r="124" spans="1:12" x14ac:dyDescent="0.25">
      <c r="A124" s="1">
        <v>45690</v>
      </c>
      <c r="B124">
        <v>2025</v>
      </c>
      <c r="C124" t="s">
        <v>6</v>
      </c>
      <c r="D124" t="s">
        <v>5</v>
      </c>
      <c r="E124" t="s">
        <v>4</v>
      </c>
      <c r="F124" t="s">
        <v>19</v>
      </c>
      <c r="G124" t="s">
        <v>28</v>
      </c>
      <c r="H124" t="s">
        <v>1</v>
      </c>
      <c r="I124" t="s">
        <v>13</v>
      </c>
      <c r="J124">
        <v>5</v>
      </c>
      <c r="K124">
        <v>148</v>
      </c>
      <c r="L124">
        <v>740</v>
      </c>
    </row>
    <row r="125" spans="1:12" x14ac:dyDescent="0.25">
      <c r="A125" s="1">
        <v>45691</v>
      </c>
      <c r="B125">
        <v>2025</v>
      </c>
      <c r="C125" t="s">
        <v>6</v>
      </c>
      <c r="D125" t="s">
        <v>5</v>
      </c>
      <c r="E125" t="s">
        <v>10</v>
      </c>
      <c r="F125" t="s">
        <v>3</v>
      </c>
      <c r="G125" t="s">
        <v>27</v>
      </c>
      <c r="H125" t="s">
        <v>14</v>
      </c>
      <c r="I125" t="s">
        <v>13</v>
      </c>
      <c r="J125">
        <v>4</v>
      </c>
      <c r="K125">
        <v>60</v>
      </c>
      <c r="L125">
        <v>240</v>
      </c>
    </row>
    <row r="126" spans="1:12" x14ac:dyDescent="0.25">
      <c r="A126" s="1">
        <v>45692</v>
      </c>
      <c r="B126">
        <v>2025</v>
      </c>
      <c r="C126" t="s">
        <v>6</v>
      </c>
      <c r="D126" t="s">
        <v>5</v>
      </c>
      <c r="E126" t="s">
        <v>24</v>
      </c>
      <c r="F126" t="s">
        <v>9</v>
      </c>
      <c r="G126" t="s">
        <v>12</v>
      </c>
      <c r="H126" t="s">
        <v>1</v>
      </c>
      <c r="I126" t="s">
        <v>7</v>
      </c>
      <c r="J126">
        <v>6</v>
      </c>
      <c r="K126">
        <v>125</v>
      </c>
      <c r="L126">
        <v>750</v>
      </c>
    </row>
    <row r="127" spans="1:12" x14ac:dyDescent="0.25">
      <c r="A127" s="1">
        <v>45693</v>
      </c>
      <c r="B127">
        <v>2025</v>
      </c>
      <c r="C127" t="s">
        <v>6</v>
      </c>
      <c r="D127" t="s">
        <v>11</v>
      </c>
      <c r="E127" t="s">
        <v>10</v>
      </c>
      <c r="F127" t="s">
        <v>9</v>
      </c>
      <c r="G127" t="s">
        <v>12</v>
      </c>
      <c r="H127" t="s">
        <v>1</v>
      </c>
      <c r="I127" t="s">
        <v>13</v>
      </c>
      <c r="J127">
        <v>3</v>
      </c>
      <c r="K127">
        <v>226</v>
      </c>
      <c r="L127">
        <v>678</v>
      </c>
    </row>
    <row r="128" spans="1:12" x14ac:dyDescent="0.25">
      <c r="A128" s="1">
        <v>45694</v>
      </c>
      <c r="B128">
        <v>2025</v>
      </c>
      <c r="C128" t="s">
        <v>6</v>
      </c>
      <c r="D128" t="s">
        <v>17</v>
      </c>
      <c r="E128" t="s">
        <v>21</v>
      </c>
      <c r="F128" t="s">
        <v>19</v>
      </c>
      <c r="G128" t="s">
        <v>23</v>
      </c>
      <c r="H128" t="s">
        <v>1</v>
      </c>
      <c r="I128" t="s">
        <v>13</v>
      </c>
      <c r="J128">
        <v>1</v>
      </c>
      <c r="K128">
        <v>243</v>
      </c>
      <c r="L128">
        <v>243</v>
      </c>
    </row>
    <row r="129" spans="1:12" x14ac:dyDescent="0.25">
      <c r="A129" s="1">
        <v>45695</v>
      </c>
      <c r="B129">
        <v>2025</v>
      </c>
      <c r="C129" t="s">
        <v>6</v>
      </c>
      <c r="D129" t="s">
        <v>11</v>
      </c>
      <c r="E129" t="s">
        <v>21</v>
      </c>
      <c r="F129" t="s">
        <v>9</v>
      </c>
      <c r="G129" t="s">
        <v>20</v>
      </c>
      <c r="H129" t="s">
        <v>1</v>
      </c>
      <c r="I129" t="s">
        <v>0</v>
      </c>
      <c r="J129">
        <v>5</v>
      </c>
      <c r="K129">
        <v>116</v>
      </c>
      <c r="L129">
        <v>580</v>
      </c>
    </row>
    <row r="130" spans="1:12" x14ac:dyDescent="0.25">
      <c r="A130" s="1">
        <v>45696</v>
      </c>
      <c r="B130">
        <v>2025</v>
      </c>
      <c r="C130" t="s">
        <v>6</v>
      </c>
      <c r="D130" t="s">
        <v>5</v>
      </c>
      <c r="E130" t="s">
        <v>24</v>
      </c>
      <c r="F130" t="s">
        <v>19</v>
      </c>
      <c r="G130" t="s">
        <v>23</v>
      </c>
      <c r="H130" t="s">
        <v>14</v>
      </c>
      <c r="I130" t="s">
        <v>0</v>
      </c>
      <c r="J130">
        <v>4</v>
      </c>
      <c r="K130">
        <v>118</v>
      </c>
      <c r="L130">
        <v>472</v>
      </c>
    </row>
    <row r="131" spans="1:12" x14ac:dyDescent="0.25">
      <c r="A131" s="1">
        <v>45697</v>
      </c>
      <c r="B131">
        <v>2025</v>
      </c>
      <c r="C131" t="s">
        <v>6</v>
      </c>
      <c r="D131" t="s">
        <v>26</v>
      </c>
      <c r="E131" t="s">
        <v>10</v>
      </c>
      <c r="F131" t="s">
        <v>9</v>
      </c>
      <c r="G131" t="s">
        <v>20</v>
      </c>
      <c r="H131" t="s">
        <v>14</v>
      </c>
      <c r="I131" t="s">
        <v>7</v>
      </c>
      <c r="J131">
        <v>1</v>
      </c>
      <c r="K131">
        <v>226</v>
      </c>
      <c r="L131">
        <v>226</v>
      </c>
    </row>
    <row r="132" spans="1:12" x14ac:dyDescent="0.25">
      <c r="A132" s="1">
        <v>45698</v>
      </c>
      <c r="B132">
        <v>2025</v>
      </c>
      <c r="C132" t="s">
        <v>6</v>
      </c>
      <c r="D132" t="s">
        <v>22</v>
      </c>
      <c r="E132" t="s">
        <v>24</v>
      </c>
      <c r="F132" t="s">
        <v>9</v>
      </c>
      <c r="G132" t="s">
        <v>20</v>
      </c>
      <c r="H132" t="s">
        <v>14</v>
      </c>
      <c r="I132" t="s">
        <v>0</v>
      </c>
      <c r="J132">
        <v>2</v>
      </c>
      <c r="K132">
        <v>167</v>
      </c>
      <c r="L132">
        <v>334</v>
      </c>
    </row>
    <row r="133" spans="1:12" x14ac:dyDescent="0.25">
      <c r="A133" s="1">
        <v>45699</v>
      </c>
      <c r="B133">
        <v>2025</v>
      </c>
      <c r="C133" t="s">
        <v>6</v>
      </c>
      <c r="D133" t="s">
        <v>26</v>
      </c>
      <c r="E133" t="s">
        <v>24</v>
      </c>
      <c r="F133" t="s">
        <v>9</v>
      </c>
      <c r="G133" t="s">
        <v>8</v>
      </c>
      <c r="H133" t="s">
        <v>1</v>
      </c>
      <c r="I133" t="s">
        <v>0</v>
      </c>
      <c r="J133">
        <v>1</v>
      </c>
      <c r="K133">
        <v>139</v>
      </c>
      <c r="L133">
        <v>139</v>
      </c>
    </row>
    <row r="134" spans="1:12" x14ac:dyDescent="0.25">
      <c r="A134" s="1">
        <v>45700</v>
      </c>
      <c r="B134">
        <v>2025</v>
      </c>
      <c r="C134" t="s">
        <v>6</v>
      </c>
      <c r="D134" t="s">
        <v>22</v>
      </c>
      <c r="E134" t="s">
        <v>4</v>
      </c>
      <c r="F134" t="s">
        <v>19</v>
      </c>
      <c r="G134" t="s">
        <v>23</v>
      </c>
      <c r="H134" t="s">
        <v>1</v>
      </c>
      <c r="I134" t="s">
        <v>7</v>
      </c>
      <c r="J134">
        <v>4</v>
      </c>
      <c r="K134">
        <v>178</v>
      </c>
      <c r="L134">
        <v>712</v>
      </c>
    </row>
    <row r="135" spans="1:12" x14ac:dyDescent="0.25">
      <c r="A135" s="1">
        <v>45701</v>
      </c>
      <c r="B135">
        <v>2025</v>
      </c>
      <c r="C135" t="s">
        <v>6</v>
      </c>
      <c r="D135" t="s">
        <v>22</v>
      </c>
      <c r="E135" t="s">
        <v>4</v>
      </c>
      <c r="F135" t="s">
        <v>9</v>
      </c>
      <c r="G135" t="s">
        <v>12</v>
      </c>
      <c r="H135" t="s">
        <v>14</v>
      </c>
      <c r="I135" t="s">
        <v>7</v>
      </c>
      <c r="J135">
        <v>3</v>
      </c>
      <c r="K135">
        <v>217</v>
      </c>
      <c r="L135">
        <v>651</v>
      </c>
    </row>
    <row r="136" spans="1:12" x14ac:dyDescent="0.25">
      <c r="A136" s="1">
        <v>45702</v>
      </c>
      <c r="B136">
        <v>2025</v>
      </c>
      <c r="C136" t="s">
        <v>6</v>
      </c>
      <c r="D136" t="s">
        <v>22</v>
      </c>
      <c r="E136" t="s">
        <v>10</v>
      </c>
      <c r="F136" t="s">
        <v>3</v>
      </c>
      <c r="G136" t="s">
        <v>25</v>
      </c>
      <c r="H136" t="s">
        <v>1</v>
      </c>
      <c r="I136" t="s">
        <v>7</v>
      </c>
      <c r="J136">
        <v>4</v>
      </c>
      <c r="K136">
        <v>142</v>
      </c>
      <c r="L136">
        <v>568</v>
      </c>
    </row>
    <row r="137" spans="1:12" x14ac:dyDescent="0.25">
      <c r="A137" s="1">
        <v>45703</v>
      </c>
      <c r="B137">
        <v>2025</v>
      </c>
      <c r="C137" t="s">
        <v>6</v>
      </c>
      <c r="D137" t="s">
        <v>17</v>
      </c>
      <c r="E137" t="s">
        <v>24</v>
      </c>
      <c r="F137" t="s">
        <v>9</v>
      </c>
      <c r="G137" t="s">
        <v>20</v>
      </c>
      <c r="H137" t="s">
        <v>1</v>
      </c>
      <c r="I137" t="s">
        <v>0</v>
      </c>
      <c r="J137">
        <v>3</v>
      </c>
      <c r="K137">
        <v>88</v>
      </c>
      <c r="L137">
        <v>264</v>
      </c>
    </row>
    <row r="138" spans="1:12" x14ac:dyDescent="0.25">
      <c r="A138" s="1">
        <v>45704</v>
      </c>
      <c r="B138">
        <v>2025</v>
      </c>
      <c r="C138" t="s">
        <v>6</v>
      </c>
      <c r="D138" t="s">
        <v>22</v>
      </c>
      <c r="E138" t="s">
        <v>21</v>
      </c>
      <c r="F138" t="s">
        <v>19</v>
      </c>
      <c r="G138" t="s">
        <v>23</v>
      </c>
      <c r="H138" t="s">
        <v>1</v>
      </c>
      <c r="I138" t="s">
        <v>13</v>
      </c>
      <c r="J138">
        <v>3</v>
      </c>
      <c r="K138">
        <v>208</v>
      </c>
      <c r="L138">
        <v>624</v>
      </c>
    </row>
    <row r="139" spans="1:12" x14ac:dyDescent="0.25">
      <c r="A139" s="1">
        <v>45705</v>
      </c>
      <c r="B139">
        <v>2025</v>
      </c>
      <c r="C139" t="s">
        <v>6</v>
      </c>
      <c r="D139" t="s">
        <v>11</v>
      </c>
      <c r="E139" t="s">
        <v>4</v>
      </c>
      <c r="F139" t="s">
        <v>19</v>
      </c>
      <c r="G139" t="s">
        <v>28</v>
      </c>
      <c r="H139" t="s">
        <v>1</v>
      </c>
      <c r="I139" t="s">
        <v>7</v>
      </c>
      <c r="J139">
        <v>6</v>
      </c>
      <c r="K139">
        <v>119</v>
      </c>
      <c r="L139">
        <v>714</v>
      </c>
    </row>
    <row r="140" spans="1:12" x14ac:dyDescent="0.25">
      <c r="A140" s="1">
        <v>45706</v>
      </c>
      <c r="B140">
        <v>2025</v>
      </c>
      <c r="C140" t="s">
        <v>6</v>
      </c>
      <c r="D140" t="s">
        <v>26</v>
      </c>
      <c r="E140" t="s">
        <v>24</v>
      </c>
      <c r="F140" t="s">
        <v>3</v>
      </c>
      <c r="G140" t="s">
        <v>2</v>
      </c>
      <c r="H140" t="s">
        <v>1</v>
      </c>
      <c r="I140" t="s">
        <v>13</v>
      </c>
      <c r="J140">
        <v>5</v>
      </c>
      <c r="K140">
        <v>226</v>
      </c>
      <c r="L140">
        <v>1130</v>
      </c>
    </row>
    <row r="141" spans="1:12" x14ac:dyDescent="0.25">
      <c r="A141" s="1">
        <v>45707</v>
      </c>
      <c r="B141">
        <v>2025</v>
      </c>
      <c r="C141" t="s">
        <v>6</v>
      </c>
      <c r="D141" t="s">
        <v>22</v>
      </c>
      <c r="E141" t="s">
        <v>24</v>
      </c>
      <c r="F141" t="s">
        <v>9</v>
      </c>
      <c r="G141" t="s">
        <v>29</v>
      </c>
      <c r="H141" t="s">
        <v>14</v>
      </c>
      <c r="I141" t="s">
        <v>7</v>
      </c>
      <c r="J141">
        <v>6</v>
      </c>
      <c r="K141">
        <v>87</v>
      </c>
      <c r="L141">
        <v>522</v>
      </c>
    </row>
    <row r="142" spans="1:12" x14ac:dyDescent="0.25">
      <c r="A142" s="1">
        <v>45708</v>
      </c>
      <c r="B142">
        <v>2025</v>
      </c>
      <c r="C142" t="s">
        <v>6</v>
      </c>
      <c r="D142" t="s">
        <v>26</v>
      </c>
      <c r="E142" t="s">
        <v>4</v>
      </c>
      <c r="F142" t="s">
        <v>9</v>
      </c>
      <c r="G142" t="s">
        <v>8</v>
      </c>
      <c r="H142" t="s">
        <v>14</v>
      </c>
      <c r="I142" t="s">
        <v>13</v>
      </c>
      <c r="J142">
        <v>4</v>
      </c>
      <c r="K142">
        <v>96</v>
      </c>
      <c r="L142">
        <v>384</v>
      </c>
    </row>
    <row r="143" spans="1:12" x14ac:dyDescent="0.25">
      <c r="A143" s="1">
        <v>45709</v>
      </c>
      <c r="B143">
        <v>2025</v>
      </c>
      <c r="C143" t="s">
        <v>6</v>
      </c>
      <c r="D143" t="s">
        <v>22</v>
      </c>
      <c r="E143" t="s">
        <v>4</v>
      </c>
      <c r="F143" t="s">
        <v>9</v>
      </c>
      <c r="G143" t="s">
        <v>20</v>
      </c>
      <c r="H143" t="s">
        <v>1</v>
      </c>
      <c r="I143" t="s">
        <v>13</v>
      </c>
      <c r="J143">
        <v>3</v>
      </c>
      <c r="K143">
        <v>249</v>
      </c>
      <c r="L143">
        <v>747</v>
      </c>
    </row>
    <row r="144" spans="1:12" x14ac:dyDescent="0.25">
      <c r="A144" s="1">
        <v>45710</v>
      </c>
      <c r="B144">
        <v>2025</v>
      </c>
      <c r="C144" t="s">
        <v>6</v>
      </c>
      <c r="D144" t="s">
        <v>17</v>
      </c>
      <c r="E144" t="s">
        <v>24</v>
      </c>
      <c r="F144" t="s">
        <v>19</v>
      </c>
      <c r="G144" t="s">
        <v>18</v>
      </c>
      <c r="H144" t="s">
        <v>1</v>
      </c>
      <c r="I144" t="s">
        <v>13</v>
      </c>
      <c r="J144">
        <v>2</v>
      </c>
      <c r="K144">
        <v>168</v>
      </c>
      <c r="L144">
        <v>336</v>
      </c>
    </row>
    <row r="145" spans="1:12" x14ac:dyDescent="0.25">
      <c r="A145" s="1">
        <v>45711</v>
      </c>
      <c r="B145">
        <v>2025</v>
      </c>
      <c r="C145" t="s">
        <v>6</v>
      </c>
      <c r="D145" t="s">
        <v>22</v>
      </c>
      <c r="E145" t="s">
        <v>4</v>
      </c>
      <c r="F145" t="s">
        <v>19</v>
      </c>
      <c r="G145" t="s">
        <v>28</v>
      </c>
      <c r="H145" t="s">
        <v>14</v>
      </c>
      <c r="I145" t="s">
        <v>0</v>
      </c>
      <c r="J145">
        <v>6</v>
      </c>
      <c r="K145">
        <v>125</v>
      </c>
      <c r="L145">
        <v>750</v>
      </c>
    </row>
    <row r="146" spans="1:12" x14ac:dyDescent="0.25">
      <c r="A146" s="1">
        <v>45712</v>
      </c>
      <c r="B146">
        <v>2025</v>
      </c>
      <c r="C146" t="s">
        <v>6</v>
      </c>
      <c r="D146" t="s">
        <v>22</v>
      </c>
      <c r="E146" t="s">
        <v>16</v>
      </c>
      <c r="F146" t="s">
        <v>3</v>
      </c>
      <c r="G146" t="s">
        <v>25</v>
      </c>
      <c r="H146" t="s">
        <v>14</v>
      </c>
      <c r="I146" t="s">
        <v>7</v>
      </c>
      <c r="J146">
        <v>6</v>
      </c>
      <c r="K146">
        <v>149</v>
      </c>
      <c r="L146">
        <v>894</v>
      </c>
    </row>
    <row r="147" spans="1:12" x14ac:dyDescent="0.25">
      <c r="A147" s="1">
        <v>45713</v>
      </c>
      <c r="B147">
        <v>2025</v>
      </c>
      <c r="C147" t="s">
        <v>6</v>
      </c>
      <c r="D147" t="s">
        <v>26</v>
      </c>
      <c r="E147" t="s">
        <v>10</v>
      </c>
      <c r="F147" t="s">
        <v>19</v>
      </c>
      <c r="G147" t="s">
        <v>23</v>
      </c>
      <c r="H147" t="s">
        <v>1</v>
      </c>
      <c r="I147" t="s">
        <v>13</v>
      </c>
      <c r="J147">
        <v>3</v>
      </c>
      <c r="K147">
        <v>169</v>
      </c>
      <c r="L147">
        <v>507</v>
      </c>
    </row>
    <row r="148" spans="1:12" x14ac:dyDescent="0.25">
      <c r="A148" s="1">
        <v>45714</v>
      </c>
      <c r="B148">
        <v>2025</v>
      </c>
      <c r="C148" t="s">
        <v>6</v>
      </c>
      <c r="D148" t="s">
        <v>17</v>
      </c>
      <c r="E148" t="s">
        <v>10</v>
      </c>
      <c r="F148" t="s">
        <v>9</v>
      </c>
      <c r="G148" t="s">
        <v>29</v>
      </c>
      <c r="H148" t="s">
        <v>14</v>
      </c>
      <c r="I148" t="s">
        <v>0</v>
      </c>
      <c r="J148">
        <v>4</v>
      </c>
      <c r="K148">
        <v>203</v>
      </c>
      <c r="L148">
        <v>812</v>
      </c>
    </row>
    <row r="149" spans="1:12" x14ac:dyDescent="0.25">
      <c r="A149" s="1">
        <v>45715</v>
      </c>
      <c r="B149">
        <v>2025</v>
      </c>
      <c r="C149" t="s">
        <v>6</v>
      </c>
      <c r="D149" t="s">
        <v>11</v>
      </c>
      <c r="E149" t="s">
        <v>24</v>
      </c>
      <c r="F149" t="s">
        <v>3</v>
      </c>
      <c r="G149" t="s">
        <v>25</v>
      </c>
      <c r="H149" t="s">
        <v>14</v>
      </c>
      <c r="I149" t="s">
        <v>7</v>
      </c>
      <c r="J149">
        <v>4</v>
      </c>
      <c r="K149">
        <v>226</v>
      </c>
      <c r="L149">
        <v>904</v>
      </c>
    </row>
    <row r="150" spans="1:12" x14ac:dyDescent="0.25">
      <c r="A150" s="1">
        <v>45716</v>
      </c>
      <c r="B150">
        <v>2025</v>
      </c>
      <c r="C150" t="s">
        <v>6</v>
      </c>
      <c r="D150" t="s">
        <v>5</v>
      </c>
      <c r="E150" t="s">
        <v>21</v>
      </c>
      <c r="F150" t="s">
        <v>9</v>
      </c>
      <c r="G150" t="s">
        <v>8</v>
      </c>
      <c r="H150" t="s">
        <v>1</v>
      </c>
      <c r="I150" t="s">
        <v>0</v>
      </c>
      <c r="J150">
        <v>6</v>
      </c>
      <c r="K150">
        <v>112</v>
      </c>
      <c r="L150">
        <v>672</v>
      </c>
    </row>
    <row r="151" spans="1:12" x14ac:dyDescent="0.25">
      <c r="A151" s="1">
        <v>45717</v>
      </c>
      <c r="B151">
        <v>2025</v>
      </c>
      <c r="C151" t="s">
        <v>31</v>
      </c>
      <c r="D151" t="s">
        <v>22</v>
      </c>
      <c r="E151" t="s">
        <v>21</v>
      </c>
      <c r="F151" t="s">
        <v>3</v>
      </c>
      <c r="G151" t="s">
        <v>25</v>
      </c>
      <c r="H151" t="s">
        <v>14</v>
      </c>
      <c r="I151" t="s">
        <v>7</v>
      </c>
      <c r="J151">
        <v>3</v>
      </c>
      <c r="K151">
        <v>222</v>
      </c>
      <c r="L151">
        <v>666</v>
      </c>
    </row>
    <row r="152" spans="1:12" x14ac:dyDescent="0.25">
      <c r="A152" s="1">
        <v>45718</v>
      </c>
      <c r="B152">
        <v>2025</v>
      </c>
      <c r="C152" t="s">
        <v>31</v>
      </c>
      <c r="D152" t="s">
        <v>5</v>
      </c>
      <c r="E152" t="s">
        <v>10</v>
      </c>
      <c r="F152" t="s">
        <v>3</v>
      </c>
      <c r="G152" t="s">
        <v>27</v>
      </c>
      <c r="H152" t="s">
        <v>1</v>
      </c>
      <c r="I152" t="s">
        <v>13</v>
      </c>
      <c r="J152">
        <v>5</v>
      </c>
      <c r="K152">
        <v>110</v>
      </c>
      <c r="L152">
        <v>550</v>
      </c>
    </row>
    <row r="153" spans="1:12" x14ac:dyDescent="0.25">
      <c r="A153" s="1">
        <v>45719</v>
      </c>
      <c r="B153">
        <v>2025</v>
      </c>
      <c r="C153" t="s">
        <v>31</v>
      </c>
      <c r="D153" t="s">
        <v>5</v>
      </c>
      <c r="E153" t="s">
        <v>4</v>
      </c>
      <c r="F153" t="s">
        <v>3</v>
      </c>
      <c r="G153" t="s">
        <v>2</v>
      </c>
      <c r="H153" t="s">
        <v>14</v>
      </c>
      <c r="I153" t="s">
        <v>7</v>
      </c>
      <c r="J153">
        <v>5</v>
      </c>
      <c r="K153">
        <v>107</v>
      </c>
      <c r="L153">
        <v>535</v>
      </c>
    </row>
    <row r="154" spans="1:12" x14ac:dyDescent="0.25">
      <c r="A154" s="1">
        <v>45720</v>
      </c>
      <c r="B154">
        <v>2025</v>
      </c>
      <c r="C154" t="s">
        <v>31</v>
      </c>
      <c r="D154" t="s">
        <v>5</v>
      </c>
      <c r="E154" t="s">
        <v>16</v>
      </c>
      <c r="F154" t="s">
        <v>3</v>
      </c>
      <c r="G154" t="s">
        <v>27</v>
      </c>
      <c r="H154" t="s">
        <v>14</v>
      </c>
      <c r="I154" t="s">
        <v>7</v>
      </c>
      <c r="J154">
        <v>3</v>
      </c>
      <c r="K154">
        <v>79</v>
      </c>
      <c r="L154">
        <v>237</v>
      </c>
    </row>
    <row r="155" spans="1:12" x14ac:dyDescent="0.25">
      <c r="A155" s="1">
        <v>45721</v>
      </c>
      <c r="B155">
        <v>2025</v>
      </c>
      <c r="C155" t="s">
        <v>31</v>
      </c>
      <c r="D155" t="s">
        <v>17</v>
      </c>
      <c r="E155" t="s">
        <v>4</v>
      </c>
      <c r="F155" t="s">
        <v>9</v>
      </c>
      <c r="G155" t="s">
        <v>8</v>
      </c>
      <c r="H155" t="s">
        <v>14</v>
      </c>
      <c r="I155" t="s">
        <v>0</v>
      </c>
      <c r="J155">
        <v>5</v>
      </c>
      <c r="K155">
        <v>62</v>
      </c>
      <c r="L155">
        <v>310</v>
      </c>
    </row>
    <row r="156" spans="1:12" x14ac:dyDescent="0.25">
      <c r="A156" s="1">
        <v>45722</v>
      </c>
      <c r="B156">
        <v>2025</v>
      </c>
      <c r="C156" t="s">
        <v>31</v>
      </c>
      <c r="D156" t="s">
        <v>26</v>
      </c>
      <c r="E156" t="s">
        <v>10</v>
      </c>
      <c r="F156" t="s">
        <v>19</v>
      </c>
      <c r="G156" t="s">
        <v>18</v>
      </c>
      <c r="H156" t="s">
        <v>14</v>
      </c>
      <c r="I156" t="s">
        <v>13</v>
      </c>
      <c r="J156">
        <v>2</v>
      </c>
      <c r="K156">
        <v>228</v>
      </c>
      <c r="L156">
        <v>456</v>
      </c>
    </row>
    <row r="157" spans="1:12" x14ac:dyDescent="0.25">
      <c r="A157" s="1">
        <v>45723</v>
      </c>
      <c r="B157">
        <v>2025</v>
      </c>
      <c r="C157" t="s">
        <v>31</v>
      </c>
      <c r="D157" t="s">
        <v>22</v>
      </c>
      <c r="E157" t="s">
        <v>24</v>
      </c>
      <c r="F157" t="s">
        <v>9</v>
      </c>
      <c r="G157" t="s">
        <v>20</v>
      </c>
      <c r="H157" t="s">
        <v>14</v>
      </c>
      <c r="I157" t="s">
        <v>7</v>
      </c>
      <c r="J157">
        <v>4</v>
      </c>
      <c r="K157">
        <v>102</v>
      </c>
      <c r="L157">
        <v>408</v>
      </c>
    </row>
    <row r="158" spans="1:12" x14ac:dyDescent="0.25">
      <c r="A158" s="1">
        <v>45724</v>
      </c>
      <c r="B158">
        <v>2025</v>
      </c>
      <c r="C158" t="s">
        <v>31</v>
      </c>
      <c r="D158" t="s">
        <v>22</v>
      </c>
      <c r="E158" t="s">
        <v>24</v>
      </c>
      <c r="F158" t="s">
        <v>3</v>
      </c>
      <c r="G158" t="s">
        <v>25</v>
      </c>
      <c r="H158" t="s">
        <v>1</v>
      </c>
      <c r="I158" t="s">
        <v>13</v>
      </c>
      <c r="J158">
        <v>1</v>
      </c>
      <c r="K158">
        <v>228</v>
      </c>
      <c r="L158">
        <v>228</v>
      </c>
    </row>
    <row r="159" spans="1:12" x14ac:dyDescent="0.25">
      <c r="A159" s="1">
        <v>45725</v>
      </c>
      <c r="B159">
        <v>2025</v>
      </c>
      <c r="C159" t="s">
        <v>31</v>
      </c>
      <c r="D159" t="s">
        <v>26</v>
      </c>
      <c r="E159" t="s">
        <v>16</v>
      </c>
      <c r="F159" t="s">
        <v>19</v>
      </c>
      <c r="G159" t="s">
        <v>23</v>
      </c>
      <c r="H159" t="s">
        <v>14</v>
      </c>
      <c r="I159" t="s">
        <v>7</v>
      </c>
      <c r="J159">
        <v>2</v>
      </c>
      <c r="K159">
        <v>90</v>
      </c>
      <c r="L159">
        <v>180</v>
      </c>
    </row>
    <row r="160" spans="1:12" x14ac:dyDescent="0.25">
      <c r="A160" s="1">
        <v>45726</v>
      </c>
      <c r="B160">
        <v>2025</v>
      </c>
      <c r="C160" t="s">
        <v>31</v>
      </c>
      <c r="D160" t="s">
        <v>26</v>
      </c>
      <c r="E160" t="s">
        <v>4</v>
      </c>
      <c r="F160" t="s">
        <v>19</v>
      </c>
      <c r="G160" t="s">
        <v>18</v>
      </c>
      <c r="H160" t="s">
        <v>1</v>
      </c>
      <c r="I160" t="s">
        <v>0</v>
      </c>
      <c r="J160">
        <v>3</v>
      </c>
      <c r="K160">
        <v>171</v>
      </c>
      <c r="L160">
        <v>513</v>
      </c>
    </row>
    <row r="161" spans="1:12" x14ac:dyDescent="0.25">
      <c r="A161" s="1">
        <v>45727</v>
      </c>
      <c r="B161">
        <v>2025</v>
      </c>
      <c r="C161" t="s">
        <v>31</v>
      </c>
      <c r="D161" t="s">
        <v>11</v>
      </c>
      <c r="E161" t="s">
        <v>21</v>
      </c>
      <c r="F161" t="s">
        <v>3</v>
      </c>
      <c r="G161" t="s">
        <v>2</v>
      </c>
      <c r="H161" t="s">
        <v>1</v>
      </c>
      <c r="I161" t="s">
        <v>7</v>
      </c>
      <c r="J161">
        <v>3</v>
      </c>
      <c r="K161">
        <v>120</v>
      </c>
      <c r="L161">
        <v>360</v>
      </c>
    </row>
    <row r="162" spans="1:12" x14ac:dyDescent="0.25">
      <c r="A162" s="1">
        <v>45728</v>
      </c>
      <c r="B162">
        <v>2025</v>
      </c>
      <c r="C162" t="s">
        <v>31</v>
      </c>
      <c r="D162" t="s">
        <v>11</v>
      </c>
      <c r="E162" t="s">
        <v>16</v>
      </c>
      <c r="F162" t="s">
        <v>9</v>
      </c>
      <c r="G162" t="s">
        <v>15</v>
      </c>
      <c r="H162" t="s">
        <v>14</v>
      </c>
      <c r="I162" t="s">
        <v>0</v>
      </c>
      <c r="J162">
        <v>5</v>
      </c>
      <c r="K162">
        <v>170</v>
      </c>
      <c r="L162">
        <v>850</v>
      </c>
    </row>
    <row r="163" spans="1:12" x14ac:dyDescent="0.25">
      <c r="A163" s="1">
        <v>45729</v>
      </c>
      <c r="B163">
        <v>2025</v>
      </c>
      <c r="C163" t="s">
        <v>31</v>
      </c>
      <c r="D163" t="s">
        <v>22</v>
      </c>
      <c r="E163" t="s">
        <v>24</v>
      </c>
      <c r="F163" t="s">
        <v>9</v>
      </c>
      <c r="G163" t="s">
        <v>12</v>
      </c>
      <c r="H163" t="s">
        <v>14</v>
      </c>
      <c r="I163" t="s">
        <v>13</v>
      </c>
      <c r="J163">
        <v>1</v>
      </c>
      <c r="K163">
        <v>128</v>
      </c>
      <c r="L163">
        <v>128</v>
      </c>
    </row>
    <row r="164" spans="1:12" x14ac:dyDescent="0.25">
      <c r="A164" s="1">
        <v>45730</v>
      </c>
      <c r="B164">
        <v>2025</v>
      </c>
      <c r="C164" t="s">
        <v>31</v>
      </c>
      <c r="D164" t="s">
        <v>26</v>
      </c>
      <c r="E164" t="s">
        <v>24</v>
      </c>
      <c r="F164" t="s">
        <v>19</v>
      </c>
      <c r="G164" t="s">
        <v>28</v>
      </c>
      <c r="H164" t="s">
        <v>1</v>
      </c>
      <c r="I164" t="s">
        <v>13</v>
      </c>
      <c r="J164">
        <v>3</v>
      </c>
      <c r="K164">
        <v>133</v>
      </c>
      <c r="L164">
        <v>399</v>
      </c>
    </row>
    <row r="165" spans="1:12" x14ac:dyDescent="0.25">
      <c r="A165" s="1">
        <v>45731</v>
      </c>
      <c r="B165">
        <v>2025</v>
      </c>
      <c r="C165" t="s">
        <v>31</v>
      </c>
      <c r="D165" t="s">
        <v>22</v>
      </c>
      <c r="E165" t="s">
        <v>16</v>
      </c>
      <c r="F165" t="s">
        <v>19</v>
      </c>
      <c r="G165" t="s">
        <v>23</v>
      </c>
      <c r="H165" t="s">
        <v>1</v>
      </c>
      <c r="I165" t="s">
        <v>7</v>
      </c>
      <c r="J165">
        <v>1</v>
      </c>
      <c r="K165">
        <v>74</v>
      </c>
      <c r="L165">
        <v>74</v>
      </c>
    </row>
    <row r="166" spans="1:12" x14ac:dyDescent="0.25">
      <c r="A166" s="1">
        <v>45732</v>
      </c>
      <c r="B166">
        <v>2025</v>
      </c>
      <c r="C166" t="s">
        <v>31</v>
      </c>
      <c r="D166" t="s">
        <v>17</v>
      </c>
      <c r="E166" t="s">
        <v>10</v>
      </c>
      <c r="F166" t="s">
        <v>19</v>
      </c>
      <c r="G166" t="s">
        <v>28</v>
      </c>
      <c r="H166" t="s">
        <v>14</v>
      </c>
      <c r="I166" t="s">
        <v>0</v>
      </c>
      <c r="J166">
        <v>6</v>
      </c>
      <c r="K166">
        <v>67</v>
      </c>
      <c r="L166">
        <v>402</v>
      </c>
    </row>
    <row r="167" spans="1:12" x14ac:dyDescent="0.25">
      <c r="A167" s="1">
        <v>45733</v>
      </c>
      <c r="B167">
        <v>2025</v>
      </c>
      <c r="C167" t="s">
        <v>31</v>
      </c>
      <c r="D167" t="s">
        <v>5</v>
      </c>
      <c r="E167" t="s">
        <v>10</v>
      </c>
      <c r="F167" t="s">
        <v>19</v>
      </c>
      <c r="G167" t="s">
        <v>23</v>
      </c>
      <c r="H167" t="s">
        <v>1</v>
      </c>
      <c r="I167" t="s">
        <v>0</v>
      </c>
      <c r="J167">
        <v>2</v>
      </c>
      <c r="K167">
        <v>86</v>
      </c>
      <c r="L167">
        <v>172</v>
      </c>
    </row>
    <row r="168" spans="1:12" x14ac:dyDescent="0.25">
      <c r="A168" s="1">
        <v>45734</v>
      </c>
      <c r="B168">
        <v>2025</v>
      </c>
      <c r="C168" t="s">
        <v>31</v>
      </c>
      <c r="D168" t="s">
        <v>26</v>
      </c>
      <c r="E168" t="s">
        <v>16</v>
      </c>
      <c r="F168" t="s">
        <v>9</v>
      </c>
      <c r="G168" t="s">
        <v>29</v>
      </c>
      <c r="H168" t="s">
        <v>14</v>
      </c>
      <c r="I168" t="s">
        <v>0</v>
      </c>
      <c r="J168">
        <v>5</v>
      </c>
      <c r="K168">
        <v>101</v>
      </c>
      <c r="L168">
        <v>505</v>
      </c>
    </row>
    <row r="169" spans="1:12" x14ac:dyDescent="0.25">
      <c r="A169" s="1">
        <v>45735</v>
      </c>
      <c r="B169">
        <v>2025</v>
      </c>
      <c r="C169" t="s">
        <v>31</v>
      </c>
      <c r="D169" t="s">
        <v>17</v>
      </c>
      <c r="E169" t="s">
        <v>16</v>
      </c>
      <c r="F169" t="s">
        <v>19</v>
      </c>
      <c r="G169" t="s">
        <v>23</v>
      </c>
      <c r="H169" t="s">
        <v>1</v>
      </c>
      <c r="I169" t="s">
        <v>13</v>
      </c>
      <c r="J169">
        <v>6</v>
      </c>
      <c r="K169">
        <v>89</v>
      </c>
      <c r="L169">
        <v>534</v>
      </c>
    </row>
    <row r="170" spans="1:12" x14ac:dyDescent="0.25">
      <c r="A170" s="1">
        <v>45736</v>
      </c>
      <c r="B170">
        <v>2025</v>
      </c>
      <c r="C170" t="s">
        <v>31</v>
      </c>
      <c r="D170" t="s">
        <v>26</v>
      </c>
      <c r="E170" t="s">
        <v>4</v>
      </c>
      <c r="F170" t="s">
        <v>3</v>
      </c>
      <c r="G170" t="s">
        <v>25</v>
      </c>
      <c r="H170" t="s">
        <v>14</v>
      </c>
      <c r="I170" t="s">
        <v>13</v>
      </c>
      <c r="J170">
        <v>4</v>
      </c>
      <c r="K170">
        <v>151</v>
      </c>
      <c r="L170">
        <v>604</v>
      </c>
    </row>
    <row r="171" spans="1:12" x14ac:dyDescent="0.25">
      <c r="A171" s="1">
        <v>45737</v>
      </c>
      <c r="B171">
        <v>2025</v>
      </c>
      <c r="C171" t="s">
        <v>31</v>
      </c>
      <c r="D171" t="s">
        <v>26</v>
      </c>
      <c r="E171" t="s">
        <v>21</v>
      </c>
      <c r="F171" t="s">
        <v>19</v>
      </c>
      <c r="G171" t="s">
        <v>18</v>
      </c>
      <c r="H171" t="s">
        <v>14</v>
      </c>
      <c r="I171" t="s">
        <v>13</v>
      </c>
      <c r="J171">
        <v>2</v>
      </c>
      <c r="K171">
        <v>96</v>
      </c>
      <c r="L171">
        <v>192</v>
      </c>
    </row>
    <row r="172" spans="1:12" x14ac:dyDescent="0.25">
      <c r="A172" s="1">
        <v>45738</v>
      </c>
      <c r="B172">
        <v>2025</v>
      </c>
      <c r="C172" t="s">
        <v>31</v>
      </c>
      <c r="D172" t="s">
        <v>22</v>
      </c>
      <c r="E172" t="s">
        <v>16</v>
      </c>
      <c r="F172" t="s">
        <v>9</v>
      </c>
      <c r="G172" t="s">
        <v>15</v>
      </c>
      <c r="H172" t="s">
        <v>14</v>
      </c>
      <c r="I172" t="s">
        <v>13</v>
      </c>
      <c r="J172">
        <v>3</v>
      </c>
      <c r="K172">
        <v>210</v>
      </c>
      <c r="L172">
        <v>630</v>
      </c>
    </row>
    <row r="173" spans="1:12" x14ac:dyDescent="0.25">
      <c r="A173" s="1">
        <v>45739</v>
      </c>
      <c r="B173">
        <v>2025</v>
      </c>
      <c r="C173" t="s">
        <v>31</v>
      </c>
      <c r="D173" t="s">
        <v>11</v>
      </c>
      <c r="E173" t="s">
        <v>4</v>
      </c>
      <c r="F173" t="s">
        <v>19</v>
      </c>
      <c r="G173" t="s">
        <v>18</v>
      </c>
      <c r="H173" t="s">
        <v>14</v>
      </c>
      <c r="I173" t="s">
        <v>7</v>
      </c>
      <c r="J173">
        <v>6</v>
      </c>
      <c r="K173">
        <v>148</v>
      </c>
      <c r="L173">
        <v>888</v>
      </c>
    </row>
    <row r="174" spans="1:12" x14ac:dyDescent="0.25">
      <c r="A174" s="1">
        <v>45740</v>
      </c>
      <c r="B174">
        <v>2025</v>
      </c>
      <c r="C174" t="s">
        <v>31</v>
      </c>
      <c r="D174" t="s">
        <v>5</v>
      </c>
      <c r="E174" t="s">
        <v>4</v>
      </c>
      <c r="F174" t="s">
        <v>3</v>
      </c>
      <c r="G174" t="s">
        <v>2</v>
      </c>
      <c r="H174" t="s">
        <v>1</v>
      </c>
      <c r="I174" t="s">
        <v>0</v>
      </c>
      <c r="J174">
        <v>4</v>
      </c>
      <c r="K174">
        <v>236</v>
      </c>
      <c r="L174">
        <v>944</v>
      </c>
    </row>
    <row r="175" spans="1:12" x14ac:dyDescent="0.25">
      <c r="A175" s="1">
        <v>45741</v>
      </c>
      <c r="B175">
        <v>2025</v>
      </c>
      <c r="C175" t="s">
        <v>31</v>
      </c>
      <c r="D175" t="s">
        <v>22</v>
      </c>
      <c r="E175" t="s">
        <v>16</v>
      </c>
      <c r="F175" t="s">
        <v>19</v>
      </c>
      <c r="G175" t="s">
        <v>18</v>
      </c>
      <c r="H175" t="s">
        <v>1</v>
      </c>
      <c r="I175" t="s">
        <v>7</v>
      </c>
      <c r="J175">
        <v>1</v>
      </c>
      <c r="K175">
        <v>157</v>
      </c>
      <c r="L175">
        <v>157</v>
      </c>
    </row>
    <row r="176" spans="1:12" x14ac:dyDescent="0.25">
      <c r="A176" s="1">
        <v>45742</v>
      </c>
      <c r="B176">
        <v>2025</v>
      </c>
      <c r="C176" t="s">
        <v>31</v>
      </c>
      <c r="D176" t="s">
        <v>22</v>
      </c>
      <c r="E176" t="s">
        <v>10</v>
      </c>
      <c r="F176" t="s">
        <v>3</v>
      </c>
      <c r="G176" t="s">
        <v>27</v>
      </c>
      <c r="H176" t="s">
        <v>14</v>
      </c>
      <c r="I176" t="s">
        <v>13</v>
      </c>
      <c r="J176">
        <v>2</v>
      </c>
      <c r="K176">
        <v>170</v>
      </c>
      <c r="L176">
        <v>340</v>
      </c>
    </row>
    <row r="177" spans="1:12" x14ac:dyDescent="0.25">
      <c r="A177" s="1">
        <v>45743</v>
      </c>
      <c r="B177">
        <v>2025</v>
      </c>
      <c r="C177" t="s">
        <v>31</v>
      </c>
      <c r="D177" t="s">
        <v>5</v>
      </c>
      <c r="E177" t="s">
        <v>10</v>
      </c>
      <c r="F177" t="s">
        <v>19</v>
      </c>
      <c r="G177" t="s">
        <v>28</v>
      </c>
      <c r="H177" t="s">
        <v>14</v>
      </c>
      <c r="I177" t="s">
        <v>0</v>
      </c>
      <c r="J177">
        <v>1</v>
      </c>
      <c r="K177">
        <v>204</v>
      </c>
      <c r="L177">
        <v>204</v>
      </c>
    </row>
    <row r="178" spans="1:12" x14ac:dyDescent="0.25">
      <c r="A178" s="1">
        <v>45744</v>
      </c>
      <c r="B178">
        <v>2025</v>
      </c>
      <c r="C178" t="s">
        <v>31</v>
      </c>
      <c r="D178" t="s">
        <v>22</v>
      </c>
      <c r="E178" t="s">
        <v>21</v>
      </c>
      <c r="F178" t="s">
        <v>9</v>
      </c>
      <c r="G178" t="s">
        <v>12</v>
      </c>
      <c r="H178" t="s">
        <v>14</v>
      </c>
      <c r="I178" t="s">
        <v>7</v>
      </c>
      <c r="J178">
        <v>3</v>
      </c>
      <c r="K178">
        <v>71</v>
      </c>
      <c r="L178">
        <v>213</v>
      </c>
    </row>
    <row r="179" spans="1:12" x14ac:dyDescent="0.25">
      <c r="A179" s="1">
        <v>45745</v>
      </c>
      <c r="B179">
        <v>2025</v>
      </c>
      <c r="C179" t="s">
        <v>31</v>
      </c>
      <c r="D179" t="s">
        <v>5</v>
      </c>
      <c r="E179" t="s">
        <v>24</v>
      </c>
      <c r="F179" t="s">
        <v>9</v>
      </c>
      <c r="G179" t="s">
        <v>8</v>
      </c>
      <c r="H179" t="s">
        <v>1</v>
      </c>
      <c r="I179" t="s">
        <v>13</v>
      </c>
      <c r="J179">
        <v>2</v>
      </c>
      <c r="K179">
        <v>151</v>
      </c>
      <c r="L179">
        <v>302</v>
      </c>
    </row>
    <row r="180" spans="1:12" x14ac:dyDescent="0.25">
      <c r="A180" s="1">
        <v>45746</v>
      </c>
      <c r="B180">
        <v>2025</v>
      </c>
      <c r="C180" t="s">
        <v>31</v>
      </c>
      <c r="D180" t="s">
        <v>17</v>
      </c>
      <c r="E180" t="s">
        <v>16</v>
      </c>
      <c r="F180" t="s">
        <v>3</v>
      </c>
      <c r="G180" t="s">
        <v>27</v>
      </c>
      <c r="H180" t="s">
        <v>1</v>
      </c>
      <c r="I180" t="s">
        <v>13</v>
      </c>
      <c r="J180">
        <v>4</v>
      </c>
      <c r="K180">
        <v>153</v>
      </c>
      <c r="L180">
        <v>612</v>
      </c>
    </row>
    <row r="181" spans="1:12" x14ac:dyDescent="0.25">
      <c r="A181" s="1">
        <v>45747</v>
      </c>
      <c r="B181">
        <v>2025</v>
      </c>
      <c r="C181" t="s">
        <v>31</v>
      </c>
      <c r="D181" t="s">
        <v>5</v>
      </c>
      <c r="E181" t="s">
        <v>21</v>
      </c>
      <c r="F181" t="s">
        <v>19</v>
      </c>
      <c r="G181" t="s">
        <v>23</v>
      </c>
      <c r="H181" t="s">
        <v>14</v>
      </c>
      <c r="I181" t="s">
        <v>7</v>
      </c>
      <c r="J181">
        <v>3</v>
      </c>
      <c r="K181">
        <v>167</v>
      </c>
      <c r="L181">
        <v>501</v>
      </c>
    </row>
    <row r="182" spans="1:12" x14ac:dyDescent="0.25">
      <c r="A182" s="1">
        <v>45658</v>
      </c>
      <c r="B182">
        <v>2025</v>
      </c>
      <c r="C182" t="s">
        <v>30</v>
      </c>
      <c r="D182" t="s">
        <v>26</v>
      </c>
      <c r="E182" t="s">
        <v>4</v>
      </c>
      <c r="F182" t="s">
        <v>9</v>
      </c>
      <c r="G182" t="s">
        <v>8</v>
      </c>
      <c r="H182" t="s">
        <v>1</v>
      </c>
      <c r="I182" t="s">
        <v>13</v>
      </c>
      <c r="J182">
        <v>3</v>
      </c>
      <c r="K182">
        <v>108</v>
      </c>
      <c r="L182">
        <v>324</v>
      </c>
    </row>
    <row r="183" spans="1:12" x14ac:dyDescent="0.25">
      <c r="A183" s="1">
        <v>45659</v>
      </c>
      <c r="B183">
        <v>2025</v>
      </c>
      <c r="C183" t="s">
        <v>30</v>
      </c>
      <c r="D183" t="s">
        <v>11</v>
      </c>
      <c r="E183" t="s">
        <v>16</v>
      </c>
      <c r="F183" t="s">
        <v>9</v>
      </c>
      <c r="G183" t="s">
        <v>20</v>
      </c>
      <c r="H183" t="s">
        <v>1</v>
      </c>
      <c r="I183" t="s">
        <v>13</v>
      </c>
      <c r="J183">
        <v>2</v>
      </c>
      <c r="K183">
        <v>104</v>
      </c>
      <c r="L183">
        <v>208</v>
      </c>
    </row>
    <row r="184" spans="1:12" x14ac:dyDescent="0.25">
      <c r="A184" s="1">
        <v>45660</v>
      </c>
      <c r="B184">
        <v>2025</v>
      </c>
      <c r="C184" t="s">
        <v>30</v>
      </c>
      <c r="D184" t="s">
        <v>22</v>
      </c>
      <c r="E184" t="s">
        <v>21</v>
      </c>
      <c r="F184" t="s">
        <v>19</v>
      </c>
      <c r="G184" t="s">
        <v>28</v>
      </c>
      <c r="H184" t="s">
        <v>1</v>
      </c>
      <c r="I184" t="s">
        <v>13</v>
      </c>
      <c r="J184">
        <v>1</v>
      </c>
      <c r="K184">
        <v>206</v>
      </c>
      <c r="L184">
        <v>206</v>
      </c>
    </row>
    <row r="185" spans="1:12" x14ac:dyDescent="0.25">
      <c r="A185" s="1">
        <v>45661</v>
      </c>
      <c r="B185">
        <v>2025</v>
      </c>
      <c r="C185" t="s">
        <v>30</v>
      </c>
      <c r="D185" t="s">
        <v>26</v>
      </c>
      <c r="E185" t="s">
        <v>24</v>
      </c>
      <c r="F185" t="s">
        <v>9</v>
      </c>
      <c r="G185" t="s">
        <v>8</v>
      </c>
      <c r="H185" t="s">
        <v>14</v>
      </c>
      <c r="I185" t="s">
        <v>13</v>
      </c>
      <c r="J185">
        <v>5</v>
      </c>
      <c r="K185">
        <v>184</v>
      </c>
      <c r="L185">
        <v>920</v>
      </c>
    </row>
    <row r="186" spans="1:12" x14ac:dyDescent="0.25">
      <c r="A186" s="1">
        <v>45662</v>
      </c>
      <c r="B186">
        <v>2025</v>
      </c>
      <c r="C186" t="s">
        <v>30</v>
      </c>
      <c r="D186" t="s">
        <v>26</v>
      </c>
      <c r="E186" t="s">
        <v>4</v>
      </c>
      <c r="F186" t="s">
        <v>9</v>
      </c>
      <c r="G186" t="s">
        <v>15</v>
      </c>
      <c r="H186" t="s">
        <v>14</v>
      </c>
      <c r="I186" t="s">
        <v>7</v>
      </c>
      <c r="J186">
        <v>4</v>
      </c>
      <c r="K186">
        <v>229</v>
      </c>
      <c r="L186">
        <v>916</v>
      </c>
    </row>
    <row r="187" spans="1:12" x14ac:dyDescent="0.25">
      <c r="A187" s="1">
        <v>45663</v>
      </c>
      <c r="B187">
        <v>2025</v>
      </c>
      <c r="C187" t="s">
        <v>30</v>
      </c>
      <c r="D187" t="s">
        <v>11</v>
      </c>
      <c r="E187" t="s">
        <v>21</v>
      </c>
      <c r="F187" t="s">
        <v>9</v>
      </c>
      <c r="G187" t="s">
        <v>20</v>
      </c>
      <c r="H187" t="s">
        <v>1</v>
      </c>
      <c r="I187" t="s">
        <v>13</v>
      </c>
      <c r="J187">
        <v>4</v>
      </c>
      <c r="K187">
        <v>232</v>
      </c>
      <c r="L187">
        <v>928</v>
      </c>
    </row>
    <row r="188" spans="1:12" x14ac:dyDescent="0.25">
      <c r="A188" s="1">
        <v>45664</v>
      </c>
      <c r="B188">
        <v>2025</v>
      </c>
      <c r="C188" t="s">
        <v>30</v>
      </c>
      <c r="D188" t="s">
        <v>11</v>
      </c>
      <c r="E188" t="s">
        <v>21</v>
      </c>
      <c r="F188" t="s">
        <v>19</v>
      </c>
      <c r="G188" t="s">
        <v>28</v>
      </c>
      <c r="H188" t="s">
        <v>1</v>
      </c>
      <c r="I188" t="s">
        <v>7</v>
      </c>
      <c r="J188">
        <v>2</v>
      </c>
      <c r="K188">
        <v>77</v>
      </c>
      <c r="L188">
        <v>154</v>
      </c>
    </row>
    <row r="189" spans="1:12" x14ac:dyDescent="0.25">
      <c r="A189" s="1">
        <v>45665</v>
      </c>
      <c r="B189">
        <v>2025</v>
      </c>
      <c r="C189" t="s">
        <v>30</v>
      </c>
      <c r="D189" t="s">
        <v>22</v>
      </c>
      <c r="E189" t="s">
        <v>24</v>
      </c>
      <c r="F189" t="s">
        <v>19</v>
      </c>
      <c r="G189" t="s">
        <v>23</v>
      </c>
      <c r="H189" t="s">
        <v>14</v>
      </c>
      <c r="I189" t="s">
        <v>7</v>
      </c>
      <c r="J189">
        <v>3</v>
      </c>
      <c r="K189">
        <v>207</v>
      </c>
      <c r="L189">
        <v>621</v>
      </c>
    </row>
    <row r="190" spans="1:12" x14ac:dyDescent="0.25">
      <c r="A190" s="1">
        <v>45666</v>
      </c>
      <c r="B190">
        <v>2025</v>
      </c>
      <c r="C190" t="s">
        <v>30</v>
      </c>
      <c r="D190" t="s">
        <v>11</v>
      </c>
      <c r="E190" t="s">
        <v>21</v>
      </c>
      <c r="F190" t="s">
        <v>19</v>
      </c>
      <c r="G190" t="s">
        <v>18</v>
      </c>
      <c r="H190" t="s">
        <v>1</v>
      </c>
      <c r="I190" t="s">
        <v>0</v>
      </c>
      <c r="J190">
        <v>5</v>
      </c>
      <c r="K190">
        <v>206</v>
      </c>
      <c r="L190">
        <v>1030</v>
      </c>
    </row>
    <row r="191" spans="1:12" x14ac:dyDescent="0.25">
      <c r="A191" s="1">
        <v>45667</v>
      </c>
      <c r="B191">
        <v>2025</v>
      </c>
      <c r="C191" t="s">
        <v>30</v>
      </c>
      <c r="D191" t="s">
        <v>17</v>
      </c>
      <c r="E191" t="s">
        <v>10</v>
      </c>
      <c r="F191" t="s">
        <v>9</v>
      </c>
      <c r="G191" t="s">
        <v>8</v>
      </c>
      <c r="H191" t="s">
        <v>1</v>
      </c>
      <c r="I191" t="s">
        <v>0</v>
      </c>
      <c r="J191">
        <v>5</v>
      </c>
      <c r="K191">
        <v>155</v>
      </c>
      <c r="L191">
        <v>775</v>
      </c>
    </row>
    <row r="192" spans="1:12" x14ac:dyDescent="0.25">
      <c r="A192" s="1">
        <v>45668</v>
      </c>
      <c r="B192">
        <v>2025</v>
      </c>
      <c r="C192" t="s">
        <v>30</v>
      </c>
      <c r="D192" t="s">
        <v>5</v>
      </c>
      <c r="E192" t="s">
        <v>24</v>
      </c>
      <c r="F192" t="s">
        <v>3</v>
      </c>
      <c r="G192" t="s">
        <v>25</v>
      </c>
      <c r="H192" t="s">
        <v>14</v>
      </c>
      <c r="I192" t="s">
        <v>13</v>
      </c>
      <c r="J192">
        <v>3</v>
      </c>
      <c r="K192">
        <v>91</v>
      </c>
      <c r="L192">
        <v>273</v>
      </c>
    </row>
    <row r="193" spans="1:12" x14ac:dyDescent="0.25">
      <c r="A193" s="1">
        <v>45669</v>
      </c>
      <c r="B193">
        <v>2025</v>
      </c>
      <c r="C193" t="s">
        <v>30</v>
      </c>
      <c r="D193" t="s">
        <v>22</v>
      </c>
      <c r="E193" t="s">
        <v>16</v>
      </c>
      <c r="F193" t="s">
        <v>3</v>
      </c>
      <c r="G193" t="s">
        <v>25</v>
      </c>
      <c r="H193" t="s">
        <v>1</v>
      </c>
      <c r="I193" t="s">
        <v>7</v>
      </c>
      <c r="J193">
        <v>5</v>
      </c>
      <c r="K193">
        <v>201</v>
      </c>
      <c r="L193">
        <v>1005</v>
      </c>
    </row>
    <row r="194" spans="1:12" x14ac:dyDescent="0.25">
      <c r="A194" s="1">
        <v>45670</v>
      </c>
      <c r="B194">
        <v>2025</v>
      </c>
      <c r="C194" t="s">
        <v>30</v>
      </c>
      <c r="D194" t="s">
        <v>11</v>
      </c>
      <c r="E194" t="s">
        <v>16</v>
      </c>
      <c r="F194" t="s">
        <v>3</v>
      </c>
      <c r="G194" t="s">
        <v>25</v>
      </c>
      <c r="H194" t="s">
        <v>14</v>
      </c>
      <c r="I194" t="s">
        <v>0</v>
      </c>
      <c r="J194">
        <v>5</v>
      </c>
      <c r="K194">
        <v>224</v>
      </c>
      <c r="L194">
        <v>1120</v>
      </c>
    </row>
    <row r="195" spans="1:12" x14ac:dyDescent="0.25">
      <c r="A195" s="1">
        <v>45671</v>
      </c>
      <c r="B195">
        <v>2025</v>
      </c>
      <c r="C195" t="s">
        <v>30</v>
      </c>
      <c r="D195" t="s">
        <v>17</v>
      </c>
      <c r="E195" t="s">
        <v>24</v>
      </c>
      <c r="F195" t="s">
        <v>3</v>
      </c>
      <c r="G195" t="s">
        <v>2</v>
      </c>
      <c r="H195" t="s">
        <v>14</v>
      </c>
      <c r="I195" t="s">
        <v>0</v>
      </c>
      <c r="J195">
        <v>1</v>
      </c>
      <c r="K195">
        <v>182</v>
      </c>
      <c r="L195">
        <v>182</v>
      </c>
    </row>
    <row r="196" spans="1:12" x14ac:dyDescent="0.25">
      <c r="A196" s="1">
        <v>45672</v>
      </c>
      <c r="B196">
        <v>2025</v>
      </c>
      <c r="C196" t="s">
        <v>30</v>
      </c>
      <c r="D196" t="s">
        <v>11</v>
      </c>
      <c r="E196" t="s">
        <v>24</v>
      </c>
      <c r="F196" t="s">
        <v>19</v>
      </c>
      <c r="G196" t="s">
        <v>23</v>
      </c>
      <c r="H196" t="s">
        <v>14</v>
      </c>
      <c r="I196" t="s">
        <v>0</v>
      </c>
      <c r="J196">
        <v>1</v>
      </c>
      <c r="K196">
        <v>246</v>
      </c>
      <c r="L196">
        <v>246</v>
      </c>
    </row>
    <row r="197" spans="1:12" x14ac:dyDescent="0.25">
      <c r="A197" s="1">
        <v>45673</v>
      </c>
      <c r="B197">
        <v>2025</v>
      </c>
      <c r="C197" t="s">
        <v>30</v>
      </c>
      <c r="D197" t="s">
        <v>11</v>
      </c>
      <c r="E197" t="s">
        <v>16</v>
      </c>
      <c r="F197" t="s">
        <v>9</v>
      </c>
      <c r="G197" t="s">
        <v>12</v>
      </c>
      <c r="H197" t="s">
        <v>14</v>
      </c>
      <c r="I197" t="s">
        <v>7</v>
      </c>
      <c r="J197">
        <v>5</v>
      </c>
      <c r="K197">
        <v>136</v>
      </c>
      <c r="L197">
        <v>680</v>
      </c>
    </row>
    <row r="198" spans="1:12" x14ac:dyDescent="0.25">
      <c r="A198" s="1">
        <v>45674</v>
      </c>
      <c r="B198">
        <v>2025</v>
      </c>
      <c r="C198" t="s">
        <v>30</v>
      </c>
      <c r="D198" t="s">
        <v>11</v>
      </c>
      <c r="E198" t="s">
        <v>4</v>
      </c>
      <c r="F198" t="s">
        <v>9</v>
      </c>
      <c r="G198" t="s">
        <v>20</v>
      </c>
      <c r="H198" t="s">
        <v>14</v>
      </c>
      <c r="I198" t="s">
        <v>13</v>
      </c>
      <c r="J198">
        <v>2</v>
      </c>
      <c r="K198">
        <v>106</v>
      </c>
      <c r="L198">
        <v>212</v>
      </c>
    </row>
    <row r="199" spans="1:12" x14ac:dyDescent="0.25">
      <c r="A199" s="1">
        <v>45675</v>
      </c>
      <c r="B199">
        <v>2025</v>
      </c>
      <c r="C199" t="s">
        <v>30</v>
      </c>
      <c r="D199" t="s">
        <v>11</v>
      </c>
      <c r="E199" t="s">
        <v>24</v>
      </c>
      <c r="F199" t="s">
        <v>19</v>
      </c>
      <c r="G199" t="s">
        <v>18</v>
      </c>
      <c r="H199" t="s">
        <v>1</v>
      </c>
      <c r="I199" t="s">
        <v>0</v>
      </c>
      <c r="J199">
        <v>4</v>
      </c>
      <c r="K199">
        <v>154</v>
      </c>
      <c r="L199">
        <v>616</v>
      </c>
    </row>
    <row r="200" spans="1:12" x14ac:dyDescent="0.25">
      <c r="A200" s="1">
        <v>45676</v>
      </c>
      <c r="B200">
        <v>2025</v>
      </c>
      <c r="C200" t="s">
        <v>30</v>
      </c>
      <c r="D200" t="s">
        <v>17</v>
      </c>
      <c r="E200" t="s">
        <v>24</v>
      </c>
      <c r="F200" t="s">
        <v>9</v>
      </c>
      <c r="G200" t="s">
        <v>29</v>
      </c>
      <c r="H200" t="s">
        <v>14</v>
      </c>
      <c r="I200" t="s">
        <v>0</v>
      </c>
      <c r="J200">
        <v>1</v>
      </c>
      <c r="K200">
        <v>199</v>
      </c>
      <c r="L200">
        <v>199</v>
      </c>
    </row>
    <row r="201" spans="1:12" x14ac:dyDescent="0.25">
      <c r="A201" s="1">
        <v>45677</v>
      </c>
      <c r="B201">
        <v>2025</v>
      </c>
      <c r="C201" t="s">
        <v>30</v>
      </c>
      <c r="D201" t="s">
        <v>22</v>
      </c>
      <c r="E201" t="s">
        <v>16</v>
      </c>
      <c r="F201" t="s">
        <v>9</v>
      </c>
      <c r="G201" t="s">
        <v>20</v>
      </c>
      <c r="H201" t="s">
        <v>14</v>
      </c>
      <c r="I201" t="s">
        <v>7</v>
      </c>
      <c r="J201">
        <v>6</v>
      </c>
      <c r="K201">
        <v>121</v>
      </c>
      <c r="L201">
        <v>726</v>
      </c>
    </row>
    <row r="202" spans="1:12" x14ac:dyDescent="0.25">
      <c r="A202" s="1">
        <v>45678</v>
      </c>
      <c r="B202">
        <v>2025</v>
      </c>
      <c r="C202" t="s">
        <v>30</v>
      </c>
      <c r="D202" t="s">
        <v>11</v>
      </c>
      <c r="E202" t="s">
        <v>24</v>
      </c>
      <c r="F202" t="s">
        <v>9</v>
      </c>
      <c r="G202" t="s">
        <v>12</v>
      </c>
      <c r="H202" t="s">
        <v>14</v>
      </c>
      <c r="I202" t="s">
        <v>0</v>
      </c>
      <c r="J202">
        <v>4</v>
      </c>
      <c r="K202">
        <v>212</v>
      </c>
      <c r="L202">
        <v>848</v>
      </c>
    </row>
    <row r="203" spans="1:12" x14ac:dyDescent="0.25">
      <c r="A203" s="1">
        <v>45679</v>
      </c>
      <c r="B203">
        <v>2025</v>
      </c>
      <c r="C203" t="s">
        <v>30</v>
      </c>
      <c r="D203" t="s">
        <v>26</v>
      </c>
      <c r="E203" t="s">
        <v>10</v>
      </c>
      <c r="F203" t="s">
        <v>19</v>
      </c>
      <c r="G203" t="s">
        <v>28</v>
      </c>
      <c r="H203" t="s">
        <v>14</v>
      </c>
      <c r="I203" t="s">
        <v>7</v>
      </c>
      <c r="J203">
        <v>5</v>
      </c>
      <c r="K203">
        <v>139</v>
      </c>
      <c r="L203">
        <v>695</v>
      </c>
    </row>
    <row r="204" spans="1:12" x14ac:dyDescent="0.25">
      <c r="A204" s="1">
        <v>45680</v>
      </c>
      <c r="B204">
        <v>2025</v>
      </c>
      <c r="C204" t="s">
        <v>30</v>
      </c>
      <c r="D204" t="s">
        <v>17</v>
      </c>
      <c r="E204" t="s">
        <v>24</v>
      </c>
      <c r="F204" t="s">
        <v>19</v>
      </c>
      <c r="G204" t="s">
        <v>23</v>
      </c>
      <c r="H204" t="s">
        <v>1</v>
      </c>
      <c r="I204" t="s">
        <v>0</v>
      </c>
      <c r="J204">
        <v>5</v>
      </c>
      <c r="K204">
        <v>64</v>
      </c>
      <c r="L204">
        <v>320</v>
      </c>
    </row>
    <row r="205" spans="1:12" x14ac:dyDescent="0.25">
      <c r="A205" s="1">
        <v>45681</v>
      </c>
      <c r="B205">
        <v>2025</v>
      </c>
      <c r="C205" t="s">
        <v>30</v>
      </c>
      <c r="D205" t="s">
        <v>26</v>
      </c>
      <c r="E205" t="s">
        <v>16</v>
      </c>
      <c r="F205" t="s">
        <v>19</v>
      </c>
      <c r="G205" t="s">
        <v>18</v>
      </c>
      <c r="H205" t="s">
        <v>14</v>
      </c>
      <c r="I205" t="s">
        <v>0</v>
      </c>
      <c r="J205">
        <v>6</v>
      </c>
      <c r="K205">
        <v>137</v>
      </c>
      <c r="L205">
        <v>822</v>
      </c>
    </row>
    <row r="206" spans="1:12" x14ac:dyDescent="0.25">
      <c r="A206" s="1">
        <v>45682</v>
      </c>
      <c r="B206">
        <v>2025</v>
      </c>
      <c r="C206" t="s">
        <v>30</v>
      </c>
      <c r="D206" t="s">
        <v>22</v>
      </c>
      <c r="E206" t="s">
        <v>21</v>
      </c>
      <c r="F206" t="s">
        <v>19</v>
      </c>
      <c r="G206" t="s">
        <v>23</v>
      </c>
      <c r="H206" t="s">
        <v>1</v>
      </c>
      <c r="I206" t="s">
        <v>7</v>
      </c>
      <c r="J206">
        <v>6</v>
      </c>
      <c r="K206">
        <v>188</v>
      </c>
      <c r="L206">
        <v>1128</v>
      </c>
    </row>
    <row r="207" spans="1:12" x14ac:dyDescent="0.25">
      <c r="A207" s="1">
        <v>45683</v>
      </c>
      <c r="B207">
        <v>2025</v>
      </c>
      <c r="C207" t="s">
        <v>30</v>
      </c>
      <c r="D207" t="s">
        <v>26</v>
      </c>
      <c r="E207" t="s">
        <v>10</v>
      </c>
      <c r="F207" t="s">
        <v>19</v>
      </c>
      <c r="G207" t="s">
        <v>28</v>
      </c>
      <c r="H207" t="s">
        <v>1</v>
      </c>
      <c r="I207" t="s">
        <v>7</v>
      </c>
      <c r="J207">
        <v>2</v>
      </c>
      <c r="K207">
        <v>190</v>
      </c>
      <c r="L207">
        <v>380</v>
      </c>
    </row>
    <row r="208" spans="1:12" x14ac:dyDescent="0.25">
      <c r="A208" s="1">
        <v>45684</v>
      </c>
      <c r="B208">
        <v>2025</v>
      </c>
      <c r="C208" t="s">
        <v>30</v>
      </c>
      <c r="D208" t="s">
        <v>17</v>
      </c>
      <c r="E208" t="s">
        <v>21</v>
      </c>
      <c r="F208" t="s">
        <v>19</v>
      </c>
      <c r="G208" t="s">
        <v>18</v>
      </c>
      <c r="H208" t="s">
        <v>1</v>
      </c>
      <c r="I208" t="s">
        <v>7</v>
      </c>
      <c r="J208">
        <v>6</v>
      </c>
      <c r="K208">
        <v>189</v>
      </c>
      <c r="L208">
        <v>1134</v>
      </c>
    </row>
    <row r="209" spans="1:12" x14ac:dyDescent="0.25">
      <c r="A209" s="1">
        <v>45685</v>
      </c>
      <c r="B209">
        <v>2025</v>
      </c>
      <c r="C209" t="s">
        <v>30</v>
      </c>
      <c r="D209" t="s">
        <v>11</v>
      </c>
      <c r="E209" t="s">
        <v>16</v>
      </c>
      <c r="F209" t="s">
        <v>19</v>
      </c>
      <c r="G209" t="s">
        <v>23</v>
      </c>
      <c r="H209" t="s">
        <v>1</v>
      </c>
      <c r="I209" t="s">
        <v>0</v>
      </c>
      <c r="J209">
        <v>3</v>
      </c>
      <c r="K209">
        <v>203</v>
      </c>
      <c r="L209">
        <v>609</v>
      </c>
    </row>
    <row r="210" spans="1:12" x14ac:dyDescent="0.25">
      <c r="A210" s="1">
        <v>45686</v>
      </c>
      <c r="B210">
        <v>2025</v>
      </c>
      <c r="C210" t="s">
        <v>30</v>
      </c>
      <c r="D210" t="s">
        <v>22</v>
      </c>
      <c r="E210" t="s">
        <v>24</v>
      </c>
      <c r="F210" t="s">
        <v>9</v>
      </c>
      <c r="G210" t="s">
        <v>15</v>
      </c>
      <c r="H210" t="s">
        <v>14</v>
      </c>
      <c r="I210" t="s">
        <v>0</v>
      </c>
      <c r="J210">
        <v>3</v>
      </c>
      <c r="K210">
        <v>228</v>
      </c>
      <c r="L210">
        <v>684</v>
      </c>
    </row>
    <row r="211" spans="1:12" x14ac:dyDescent="0.25">
      <c r="A211" s="1">
        <v>45687</v>
      </c>
      <c r="B211">
        <v>2025</v>
      </c>
      <c r="C211" t="s">
        <v>30</v>
      </c>
      <c r="D211" t="s">
        <v>17</v>
      </c>
      <c r="E211" t="s">
        <v>16</v>
      </c>
      <c r="F211" t="s">
        <v>3</v>
      </c>
      <c r="G211" t="s">
        <v>25</v>
      </c>
      <c r="H211" t="s">
        <v>1</v>
      </c>
      <c r="I211" t="s">
        <v>7</v>
      </c>
      <c r="J211">
        <v>5</v>
      </c>
      <c r="K211">
        <v>68</v>
      </c>
      <c r="L211">
        <v>340</v>
      </c>
    </row>
    <row r="212" spans="1:12" x14ac:dyDescent="0.25">
      <c r="A212" s="1">
        <v>45688</v>
      </c>
      <c r="B212">
        <v>2025</v>
      </c>
      <c r="C212" t="s">
        <v>30</v>
      </c>
      <c r="D212" t="s">
        <v>17</v>
      </c>
      <c r="E212" t="s">
        <v>4</v>
      </c>
      <c r="F212" t="s">
        <v>9</v>
      </c>
      <c r="G212" t="s">
        <v>12</v>
      </c>
      <c r="H212" t="s">
        <v>14</v>
      </c>
      <c r="I212" t="s">
        <v>7</v>
      </c>
      <c r="J212">
        <v>6</v>
      </c>
      <c r="K212">
        <v>101</v>
      </c>
      <c r="L212">
        <v>606</v>
      </c>
    </row>
    <row r="213" spans="1:12" x14ac:dyDescent="0.25">
      <c r="A213" s="1">
        <v>45689</v>
      </c>
      <c r="B213">
        <v>2025</v>
      </c>
      <c r="C213" t="s">
        <v>6</v>
      </c>
      <c r="D213" t="s">
        <v>5</v>
      </c>
      <c r="E213" t="s">
        <v>10</v>
      </c>
      <c r="F213" t="s">
        <v>3</v>
      </c>
      <c r="G213" t="s">
        <v>2</v>
      </c>
      <c r="H213" t="s">
        <v>1</v>
      </c>
      <c r="I213" t="s">
        <v>7</v>
      </c>
      <c r="J213">
        <v>3</v>
      </c>
      <c r="K213">
        <v>104</v>
      </c>
      <c r="L213">
        <v>312</v>
      </c>
    </row>
    <row r="214" spans="1:12" x14ac:dyDescent="0.25">
      <c r="A214" s="1">
        <v>45690</v>
      </c>
      <c r="B214">
        <v>2025</v>
      </c>
      <c r="C214" t="s">
        <v>6</v>
      </c>
      <c r="D214" t="s">
        <v>5</v>
      </c>
      <c r="E214" t="s">
        <v>24</v>
      </c>
      <c r="F214" t="s">
        <v>19</v>
      </c>
      <c r="G214" t="s">
        <v>28</v>
      </c>
      <c r="H214" t="s">
        <v>1</v>
      </c>
      <c r="I214" t="s">
        <v>13</v>
      </c>
      <c r="J214">
        <v>6</v>
      </c>
      <c r="K214">
        <v>135</v>
      </c>
      <c r="L214">
        <v>810</v>
      </c>
    </row>
    <row r="215" spans="1:12" x14ac:dyDescent="0.25">
      <c r="A215" s="1">
        <v>45691</v>
      </c>
      <c r="B215">
        <v>2025</v>
      </c>
      <c r="C215" t="s">
        <v>6</v>
      </c>
      <c r="D215" t="s">
        <v>17</v>
      </c>
      <c r="E215" t="s">
        <v>24</v>
      </c>
      <c r="F215" t="s">
        <v>19</v>
      </c>
      <c r="G215" t="s">
        <v>23</v>
      </c>
      <c r="H215" t="s">
        <v>1</v>
      </c>
      <c r="I215" t="s">
        <v>13</v>
      </c>
      <c r="J215">
        <v>5</v>
      </c>
      <c r="K215">
        <v>244</v>
      </c>
      <c r="L215">
        <v>1220</v>
      </c>
    </row>
    <row r="216" spans="1:12" x14ac:dyDescent="0.25">
      <c r="A216" s="1">
        <v>45692</v>
      </c>
      <c r="B216">
        <v>2025</v>
      </c>
      <c r="C216" t="s">
        <v>6</v>
      </c>
      <c r="D216" t="s">
        <v>5</v>
      </c>
      <c r="E216" t="s">
        <v>24</v>
      </c>
      <c r="F216" t="s">
        <v>19</v>
      </c>
      <c r="G216" t="s">
        <v>28</v>
      </c>
      <c r="H216" t="s">
        <v>14</v>
      </c>
      <c r="I216" t="s">
        <v>7</v>
      </c>
      <c r="J216">
        <v>2</v>
      </c>
      <c r="K216">
        <v>208</v>
      </c>
      <c r="L216">
        <v>416</v>
      </c>
    </row>
    <row r="217" spans="1:12" x14ac:dyDescent="0.25">
      <c r="A217" s="1">
        <v>45693</v>
      </c>
      <c r="B217">
        <v>2025</v>
      </c>
      <c r="C217" t="s">
        <v>6</v>
      </c>
      <c r="D217" t="s">
        <v>22</v>
      </c>
      <c r="E217" t="s">
        <v>24</v>
      </c>
      <c r="F217" t="s">
        <v>19</v>
      </c>
      <c r="G217" t="s">
        <v>18</v>
      </c>
      <c r="H217" t="s">
        <v>14</v>
      </c>
      <c r="I217" t="s">
        <v>7</v>
      </c>
      <c r="J217">
        <v>2</v>
      </c>
      <c r="K217">
        <v>228</v>
      </c>
      <c r="L217">
        <v>456</v>
      </c>
    </row>
    <row r="218" spans="1:12" x14ac:dyDescent="0.25">
      <c r="A218" s="1">
        <v>45694</v>
      </c>
      <c r="B218">
        <v>2025</v>
      </c>
      <c r="C218" t="s">
        <v>6</v>
      </c>
      <c r="D218" t="s">
        <v>17</v>
      </c>
      <c r="E218" t="s">
        <v>16</v>
      </c>
      <c r="F218" t="s">
        <v>3</v>
      </c>
      <c r="G218" t="s">
        <v>25</v>
      </c>
      <c r="H218" t="s">
        <v>14</v>
      </c>
      <c r="I218" t="s">
        <v>7</v>
      </c>
      <c r="J218">
        <v>3</v>
      </c>
      <c r="K218">
        <v>165</v>
      </c>
      <c r="L218">
        <v>495</v>
      </c>
    </row>
    <row r="219" spans="1:12" x14ac:dyDescent="0.25">
      <c r="A219" s="1">
        <v>45695</v>
      </c>
      <c r="B219">
        <v>2025</v>
      </c>
      <c r="C219" t="s">
        <v>6</v>
      </c>
      <c r="D219" t="s">
        <v>26</v>
      </c>
      <c r="E219" t="s">
        <v>21</v>
      </c>
      <c r="F219" t="s">
        <v>19</v>
      </c>
      <c r="G219" t="s">
        <v>23</v>
      </c>
      <c r="H219" t="s">
        <v>1</v>
      </c>
      <c r="I219" t="s">
        <v>0</v>
      </c>
      <c r="J219">
        <v>4</v>
      </c>
      <c r="K219">
        <v>233</v>
      </c>
      <c r="L219">
        <v>932</v>
      </c>
    </row>
    <row r="220" spans="1:12" x14ac:dyDescent="0.25">
      <c r="A220" s="1">
        <v>45696</v>
      </c>
      <c r="B220">
        <v>2025</v>
      </c>
      <c r="C220" t="s">
        <v>6</v>
      </c>
      <c r="D220" t="s">
        <v>5</v>
      </c>
      <c r="E220" t="s">
        <v>10</v>
      </c>
      <c r="F220" t="s">
        <v>19</v>
      </c>
      <c r="G220" t="s">
        <v>18</v>
      </c>
      <c r="H220" t="s">
        <v>14</v>
      </c>
      <c r="I220" t="s">
        <v>13</v>
      </c>
      <c r="J220">
        <v>2</v>
      </c>
      <c r="K220">
        <v>175</v>
      </c>
      <c r="L220">
        <v>350</v>
      </c>
    </row>
    <row r="221" spans="1:12" x14ac:dyDescent="0.25">
      <c r="A221" s="1">
        <v>45697</v>
      </c>
      <c r="B221">
        <v>2025</v>
      </c>
      <c r="C221" t="s">
        <v>6</v>
      </c>
      <c r="D221" t="s">
        <v>17</v>
      </c>
      <c r="E221" t="s">
        <v>4</v>
      </c>
      <c r="F221" t="s">
        <v>19</v>
      </c>
      <c r="G221" t="s">
        <v>23</v>
      </c>
      <c r="H221" t="s">
        <v>14</v>
      </c>
      <c r="I221" t="s">
        <v>7</v>
      </c>
      <c r="J221">
        <v>3</v>
      </c>
      <c r="K221">
        <v>77</v>
      </c>
      <c r="L221">
        <v>231</v>
      </c>
    </row>
    <row r="222" spans="1:12" x14ac:dyDescent="0.25">
      <c r="A222" s="1">
        <v>45698</v>
      </c>
      <c r="B222">
        <v>2025</v>
      </c>
      <c r="C222" t="s">
        <v>6</v>
      </c>
      <c r="D222" t="s">
        <v>11</v>
      </c>
      <c r="E222" t="s">
        <v>24</v>
      </c>
      <c r="F222" t="s">
        <v>3</v>
      </c>
      <c r="G222" t="s">
        <v>2</v>
      </c>
      <c r="H222" t="s">
        <v>14</v>
      </c>
      <c r="I222" t="s">
        <v>7</v>
      </c>
      <c r="J222">
        <v>6</v>
      </c>
      <c r="K222">
        <v>178</v>
      </c>
      <c r="L222">
        <v>1068</v>
      </c>
    </row>
    <row r="223" spans="1:12" x14ac:dyDescent="0.25">
      <c r="A223" s="1">
        <v>45699</v>
      </c>
      <c r="B223">
        <v>2025</v>
      </c>
      <c r="C223" t="s">
        <v>6</v>
      </c>
      <c r="D223" t="s">
        <v>17</v>
      </c>
      <c r="E223" t="s">
        <v>21</v>
      </c>
      <c r="F223" t="s">
        <v>3</v>
      </c>
      <c r="G223" t="s">
        <v>25</v>
      </c>
      <c r="H223" t="s">
        <v>1</v>
      </c>
      <c r="I223" t="s">
        <v>7</v>
      </c>
      <c r="J223">
        <v>1</v>
      </c>
      <c r="K223">
        <v>169</v>
      </c>
      <c r="L223">
        <v>169</v>
      </c>
    </row>
    <row r="224" spans="1:12" x14ac:dyDescent="0.25">
      <c r="A224" s="1">
        <v>45700</v>
      </c>
      <c r="B224">
        <v>2025</v>
      </c>
      <c r="C224" t="s">
        <v>6</v>
      </c>
      <c r="D224" t="s">
        <v>22</v>
      </c>
      <c r="E224" t="s">
        <v>4</v>
      </c>
      <c r="F224" t="s">
        <v>3</v>
      </c>
      <c r="G224" t="s">
        <v>27</v>
      </c>
      <c r="H224" t="s">
        <v>14</v>
      </c>
      <c r="I224" t="s">
        <v>13</v>
      </c>
      <c r="J224">
        <v>3</v>
      </c>
      <c r="K224">
        <v>167</v>
      </c>
      <c r="L224">
        <v>501</v>
      </c>
    </row>
    <row r="225" spans="1:12" x14ac:dyDescent="0.25">
      <c r="A225" s="1">
        <v>45701</v>
      </c>
      <c r="B225">
        <v>2025</v>
      </c>
      <c r="C225" t="s">
        <v>6</v>
      </c>
      <c r="D225" t="s">
        <v>5</v>
      </c>
      <c r="E225" t="s">
        <v>21</v>
      </c>
      <c r="F225" t="s">
        <v>19</v>
      </c>
      <c r="G225" t="s">
        <v>18</v>
      </c>
      <c r="H225" t="s">
        <v>1</v>
      </c>
      <c r="I225" t="s">
        <v>13</v>
      </c>
      <c r="J225">
        <v>2</v>
      </c>
      <c r="K225">
        <v>122</v>
      </c>
      <c r="L225">
        <v>244</v>
      </c>
    </row>
    <row r="226" spans="1:12" x14ac:dyDescent="0.25">
      <c r="A226" s="1">
        <v>45702</v>
      </c>
      <c r="B226">
        <v>2025</v>
      </c>
      <c r="C226" t="s">
        <v>6</v>
      </c>
      <c r="D226" t="s">
        <v>22</v>
      </c>
      <c r="E226" t="s">
        <v>4</v>
      </c>
      <c r="F226" t="s">
        <v>19</v>
      </c>
      <c r="G226" t="s">
        <v>23</v>
      </c>
      <c r="H226" t="s">
        <v>1</v>
      </c>
      <c r="I226" t="s">
        <v>0</v>
      </c>
      <c r="J226">
        <v>3</v>
      </c>
      <c r="K226">
        <v>118</v>
      </c>
      <c r="L226">
        <v>354</v>
      </c>
    </row>
    <row r="227" spans="1:12" x14ac:dyDescent="0.25">
      <c r="A227" s="1">
        <v>45703</v>
      </c>
      <c r="B227">
        <v>2025</v>
      </c>
      <c r="C227" t="s">
        <v>6</v>
      </c>
      <c r="D227" t="s">
        <v>22</v>
      </c>
      <c r="E227" t="s">
        <v>21</v>
      </c>
      <c r="F227" t="s">
        <v>9</v>
      </c>
      <c r="G227" t="s">
        <v>15</v>
      </c>
      <c r="H227" t="s">
        <v>14</v>
      </c>
      <c r="I227" t="s">
        <v>0</v>
      </c>
      <c r="J227">
        <v>2</v>
      </c>
      <c r="K227">
        <v>106</v>
      </c>
      <c r="L227">
        <v>212</v>
      </c>
    </row>
    <row r="228" spans="1:12" x14ac:dyDescent="0.25">
      <c r="A228" s="1">
        <v>45704</v>
      </c>
      <c r="B228">
        <v>2025</v>
      </c>
      <c r="C228" t="s">
        <v>6</v>
      </c>
      <c r="D228" t="s">
        <v>5</v>
      </c>
      <c r="E228" t="s">
        <v>16</v>
      </c>
      <c r="F228" t="s">
        <v>9</v>
      </c>
      <c r="G228" t="s">
        <v>12</v>
      </c>
      <c r="H228" t="s">
        <v>1</v>
      </c>
      <c r="I228" t="s">
        <v>13</v>
      </c>
      <c r="J228">
        <v>5</v>
      </c>
      <c r="K228">
        <v>141</v>
      </c>
      <c r="L228">
        <v>705</v>
      </c>
    </row>
    <row r="229" spans="1:12" x14ac:dyDescent="0.25">
      <c r="A229" s="1">
        <v>45705</v>
      </c>
      <c r="B229">
        <v>2025</v>
      </c>
      <c r="C229" t="s">
        <v>6</v>
      </c>
      <c r="D229" t="s">
        <v>17</v>
      </c>
      <c r="E229" t="s">
        <v>4</v>
      </c>
      <c r="F229" t="s">
        <v>19</v>
      </c>
      <c r="G229" t="s">
        <v>28</v>
      </c>
      <c r="H229" t="s">
        <v>1</v>
      </c>
      <c r="I229" t="s">
        <v>7</v>
      </c>
      <c r="J229">
        <v>1</v>
      </c>
      <c r="K229">
        <v>90</v>
      </c>
      <c r="L229">
        <v>90</v>
      </c>
    </row>
    <row r="230" spans="1:12" x14ac:dyDescent="0.25">
      <c r="A230" s="1">
        <v>45706</v>
      </c>
      <c r="B230">
        <v>2025</v>
      </c>
      <c r="C230" t="s">
        <v>6</v>
      </c>
      <c r="D230" t="s">
        <v>26</v>
      </c>
      <c r="E230" t="s">
        <v>24</v>
      </c>
      <c r="F230" t="s">
        <v>19</v>
      </c>
      <c r="G230" t="s">
        <v>18</v>
      </c>
      <c r="H230" t="s">
        <v>1</v>
      </c>
      <c r="I230" t="s">
        <v>7</v>
      </c>
      <c r="J230">
        <v>6</v>
      </c>
      <c r="K230">
        <v>141</v>
      </c>
      <c r="L230">
        <v>846</v>
      </c>
    </row>
    <row r="231" spans="1:12" x14ac:dyDescent="0.25">
      <c r="A231" s="1">
        <v>45707</v>
      </c>
      <c r="B231">
        <v>2025</v>
      </c>
      <c r="C231" t="s">
        <v>6</v>
      </c>
      <c r="D231" t="s">
        <v>26</v>
      </c>
      <c r="E231" t="s">
        <v>24</v>
      </c>
      <c r="F231" t="s">
        <v>19</v>
      </c>
      <c r="G231" t="s">
        <v>23</v>
      </c>
      <c r="H231" t="s">
        <v>14</v>
      </c>
      <c r="I231" t="s">
        <v>0</v>
      </c>
      <c r="J231">
        <v>1</v>
      </c>
      <c r="K231">
        <v>87</v>
      </c>
      <c r="L231">
        <v>87</v>
      </c>
    </row>
    <row r="232" spans="1:12" x14ac:dyDescent="0.25">
      <c r="A232" s="1">
        <v>45708</v>
      </c>
      <c r="B232">
        <v>2025</v>
      </c>
      <c r="C232" t="s">
        <v>6</v>
      </c>
      <c r="D232" t="s">
        <v>5</v>
      </c>
      <c r="E232" t="s">
        <v>21</v>
      </c>
      <c r="F232" t="s">
        <v>9</v>
      </c>
      <c r="G232" t="s">
        <v>15</v>
      </c>
      <c r="H232" t="s">
        <v>1</v>
      </c>
      <c r="I232" t="s">
        <v>13</v>
      </c>
      <c r="J232">
        <v>5</v>
      </c>
      <c r="K232">
        <v>194</v>
      </c>
      <c r="L232">
        <v>970</v>
      </c>
    </row>
    <row r="233" spans="1:12" x14ac:dyDescent="0.25">
      <c r="A233" s="1">
        <v>45709</v>
      </c>
      <c r="B233">
        <v>2025</v>
      </c>
      <c r="C233" t="s">
        <v>6</v>
      </c>
      <c r="D233" t="s">
        <v>11</v>
      </c>
      <c r="E233" t="s">
        <v>24</v>
      </c>
      <c r="F233" t="s">
        <v>19</v>
      </c>
      <c r="G233" t="s">
        <v>18</v>
      </c>
      <c r="H233" t="s">
        <v>1</v>
      </c>
      <c r="I233" t="s">
        <v>13</v>
      </c>
      <c r="J233">
        <v>4</v>
      </c>
      <c r="K233">
        <v>93</v>
      </c>
      <c r="L233">
        <v>372</v>
      </c>
    </row>
    <row r="234" spans="1:12" x14ac:dyDescent="0.25">
      <c r="A234" s="1">
        <v>45710</v>
      </c>
      <c r="B234">
        <v>2025</v>
      </c>
      <c r="C234" t="s">
        <v>6</v>
      </c>
      <c r="D234" t="s">
        <v>26</v>
      </c>
      <c r="E234" t="s">
        <v>24</v>
      </c>
      <c r="F234" t="s">
        <v>9</v>
      </c>
      <c r="G234" t="s">
        <v>12</v>
      </c>
      <c r="H234" t="s">
        <v>14</v>
      </c>
      <c r="I234" t="s">
        <v>7</v>
      </c>
      <c r="J234">
        <v>5</v>
      </c>
      <c r="K234">
        <v>211</v>
      </c>
      <c r="L234">
        <v>1055</v>
      </c>
    </row>
    <row r="235" spans="1:12" x14ac:dyDescent="0.25">
      <c r="A235" s="1">
        <v>45711</v>
      </c>
      <c r="B235">
        <v>2025</v>
      </c>
      <c r="C235" t="s">
        <v>6</v>
      </c>
      <c r="D235" t="s">
        <v>22</v>
      </c>
      <c r="E235" t="s">
        <v>16</v>
      </c>
      <c r="F235" t="s">
        <v>3</v>
      </c>
      <c r="G235" t="s">
        <v>2</v>
      </c>
      <c r="H235" t="s">
        <v>1</v>
      </c>
      <c r="I235" t="s">
        <v>7</v>
      </c>
      <c r="J235">
        <v>6</v>
      </c>
      <c r="K235">
        <v>154</v>
      </c>
      <c r="L235">
        <v>924</v>
      </c>
    </row>
    <row r="236" spans="1:12" x14ac:dyDescent="0.25">
      <c r="A236" s="1">
        <v>45712</v>
      </c>
      <c r="B236">
        <v>2025</v>
      </c>
      <c r="C236" t="s">
        <v>6</v>
      </c>
      <c r="D236" t="s">
        <v>22</v>
      </c>
      <c r="E236" t="s">
        <v>10</v>
      </c>
      <c r="F236" t="s">
        <v>19</v>
      </c>
      <c r="G236" t="s">
        <v>18</v>
      </c>
      <c r="H236" t="s">
        <v>14</v>
      </c>
      <c r="I236" t="s">
        <v>13</v>
      </c>
      <c r="J236">
        <v>2</v>
      </c>
      <c r="K236">
        <v>74</v>
      </c>
      <c r="L236">
        <v>148</v>
      </c>
    </row>
    <row r="237" spans="1:12" x14ac:dyDescent="0.25">
      <c r="A237" s="1">
        <v>45713</v>
      </c>
      <c r="B237">
        <v>2025</v>
      </c>
      <c r="C237" t="s">
        <v>6</v>
      </c>
      <c r="D237" t="s">
        <v>17</v>
      </c>
      <c r="E237" t="s">
        <v>4</v>
      </c>
      <c r="F237" t="s">
        <v>9</v>
      </c>
      <c r="G237" t="s">
        <v>12</v>
      </c>
      <c r="H237" t="s">
        <v>1</v>
      </c>
      <c r="I237" t="s">
        <v>0</v>
      </c>
      <c r="J237">
        <v>1</v>
      </c>
      <c r="K237">
        <v>191</v>
      </c>
      <c r="L237">
        <v>191</v>
      </c>
    </row>
    <row r="238" spans="1:12" x14ac:dyDescent="0.25">
      <c r="A238" s="1">
        <v>45714</v>
      </c>
      <c r="B238">
        <v>2025</v>
      </c>
      <c r="C238" t="s">
        <v>6</v>
      </c>
      <c r="D238" t="s">
        <v>26</v>
      </c>
      <c r="E238" t="s">
        <v>4</v>
      </c>
      <c r="F238" t="s">
        <v>9</v>
      </c>
      <c r="G238" t="s">
        <v>12</v>
      </c>
      <c r="H238" t="s">
        <v>14</v>
      </c>
      <c r="I238" t="s">
        <v>7</v>
      </c>
      <c r="J238">
        <v>6</v>
      </c>
      <c r="K238">
        <v>93</v>
      </c>
      <c r="L238">
        <v>558</v>
      </c>
    </row>
    <row r="239" spans="1:12" x14ac:dyDescent="0.25">
      <c r="A239" s="1">
        <v>45715</v>
      </c>
      <c r="B239">
        <v>2025</v>
      </c>
      <c r="C239" t="s">
        <v>6</v>
      </c>
      <c r="D239" t="s">
        <v>22</v>
      </c>
      <c r="E239" t="s">
        <v>24</v>
      </c>
      <c r="F239" t="s">
        <v>3</v>
      </c>
      <c r="G239" t="s">
        <v>2</v>
      </c>
      <c r="H239" t="s">
        <v>1</v>
      </c>
      <c r="I239" t="s">
        <v>0</v>
      </c>
      <c r="J239">
        <v>3</v>
      </c>
      <c r="K239">
        <v>83</v>
      </c>
      <c r="L239">
        <v>249</v>
      </c>
    </row>
    <row r="240" spans="1:12" x14ac:dyDescent="0.25">
      <c r="A240" s="1">
        <v>45716</v>
      </c>
      <c r="B240">
        <v>2025</v>
      </c>
      <c r="C240" t="s">
        <v>6</v>
      </c>
      <c r="D240" t="s">
        <v>5</v>
      </c>
      <c r="E240" t="s">
        <v>16</v>
      </c>
      <c r="F240" t="s">
        <v>3</v>
      </c>
      <c r="G240" t="s">
        <v>2</v>
      </c>
      <c r="H240" t="s">
        <v>14</v>
      </c>
      <c r="I240" t="s">
        <v>13</v>
      </c>
      <c r="J240">
        <v>2</v>
      </c>
      <c r="K240">
        <v>151</v>
      </c>
      <c r="L240">
        <v>302</v>
      </c>
    </row>
    <row r="241" spans="1:12" x14ac:dyDescent="0.25">
      <c r="A241" s="1">
        <v>45717</v>
      </c>
      <c r="B241">
        <v>2025</v>
      </c>
      <c r="C241" t="s">
        <v>31</v>
      </c>
      <c r="D241" t="s">
        <v>11</v>
      </c>
      <c r="E241" t="s">
        <v>16</v>
      </c>
      <c r="F241" t="s">
        <v>9</v>
      </c>
      <c r="G241" t="s">
        <v>8</v>
      </c>
      <c r="H241" t="s">
        <v>14</v>
      </c>
      <c r="I241" t="s">
        <v>13</v>
      </c>
      <c r="J241">
        <v>6</v>
      </c>
      <c r="K241">
        <v>204</v>
      </c>
      <c r="L241">
        <v>1224</v>
      </c>
    </row>
    <row r="242" spans="1:12" x14ac:dyDescent="0.25">
      <c r="A242" s="1">
        <v>45718</v>
      </c>
      <c r="B242">
        <v>2025</v>
      </c>
      <c r="C242" t="s">
        <v>31</v>
      </c>
      <c r="D242" t="s">
        <v>17</v>
      </c>
      <c r="E242" t="s">
        <v>4</v>
      </c>
      <c r="F242" t="s">
        <v>19</v>
      </c>
      <c r="G242" t="s">
        <v>23</v>
      </c>
      <c r="H242" t="s">
        <v>1</v>
      </c>
      <c r="I242" t="s">
        <v>0</v>
      </c>
      <c r="J242">
        <v>6</v>
      </c>
      <c r="K242">
        <v>234</v>
      </c>
      <c r="L242">
        <v>1404</v>
      </c>
    </row>
    <row r="243" spans="1:12" x14ac:dyDescent="0.25">
      <c r="A243" s="1">
        <v>45719</v>
      </c>
      <c r="B243">
        <v>2025</v>
      </c>
      <c r="C243" t="s">
        <v>31</v>
      </c>
      <c r="D243" t="s">
        <v>22</v>
      </c>
      <c r="E243" t="s">
        <v>4</v>
      </c>
      <c r="F243" t="s">
        <v>19</v>
      </c>
      <c r="G243" t="s">
        <v>18</v>
      </c>
      <c r="H243" t="s">
        <v>14</v>
      </c>
      <c r="I243" t="s">
        <v>7</v>
      </c>
      <c r="J243">
        <v>2</v>
      </c>
      <c r="K243">
        <v>151</v>
      </c>
      <c r="L243">
        <v>302</v>
      </c>
    </row>
    <row r="244" spans="1:12" x14ac:dyDescent="0.25">
      <c r="A244" s="1">
        <v>45720</v>
      </c>
      <c r="B244">
        <v>2025</v>
      </c>
      <c r="C244" t="s">
        <v>31</v>
      </c>
      <c r="D244" t="s">
        <v>17</v>
      </c>
      <c r="E244" t="s">
        <v>10</v>
      </c>
      <c r="F244" t="s">
        <v>19</v>
      </c>
      <c r="G244" t="s">
        <v>18</v>
      </c>
      <c r="H244" t="s">
        <v>1</v>
      </c>
      <c r="I244" t="s">
        <v>13</v>
      </c>
      <c r="J244">
        <v>2</v>
      </c>
      <c r="K244">
        <v>179</v>
      </c>
      <c r="L244">
        <v>358</v>
      </c>
    </row>
    <row r="245" spans="1:12" x14ac:dyDescent="0.25">
      <c r="A245" s="1">
        <v>45721</v>
      </c>
      <c r="B245">
        <v>2025</v>
      </c>
      <c r="C245" t="s">
        <v>31</v>
      </c>
      <c r="D245" t="s">
        <v>11</v>
      </c>
      <c r="E245" t="s">
        <v>16</v>
      </c>
      <c r="F245" t="s">
        <v>9</v>
      </c>
      <c r="G245" t="s">
        <v>12</v>
      </c>
      <c r="H245" t="s">
        <v>14</v>
      </c>
      <c r="I245" t="s">
        <v>7</v>
      </c>
      <c r="J245">
        <v>3</v>
      </c>
      <c r="K245">
        <v>128</v>
      </c>
      <c r="L245">
        <v>384</v>
      </c>
    </row>
    <row r="246" spans="1:12" x14ac:dyDescent="0.25">
      <c r="A246" s="1">
        <v>45722</v>
      </c>
      <c r="B246">
        <v>2025</v>
      </c>
      <c r="C246" t="s">
        <v>31</v>
      </c>
      <c r="D246" t="s">
        <v>17</v>
      </c>
      <c r="E246" t="s">
        <v>10</v>
      </c>
      <c r="F246" t="s">
        <v>9</v>
      </c>
      <c r="G246" t="s">
        <v>29</v>
      </c>
      <c r="H246" t="s">
        <v>14</v>
      </c>
      <c r="I246" t="s">
        <v>7</v>
      </c>
      <c r="J246">
        <v>4</v>
      </c>
      <c r="K246">
        <v>203</v>
      </c>
      <c r="L246">
        <v>812</v>
      </c>
    </row>
    <row r="247" spans="1:12" x14ac:dyDescent="0.25">
      <c r="A247" s="1">
        <v>45723</v>
      </c>
      <c r="B247">
        <v>2025</v>
      </c>
      <c r="C247" t="s">
        <v>31</v>
      </c>
      <c r="D247" t="s">
        <v>11</v>
      </c>
      <c r="E247" t="s">
        <v>10</v>
      </c>
      <c r="F247" t="s">
        <v>19</v>
      </c>
      <c r="G247" t="s">
        <v>28</v>
      </c>
      <c r="H247" t="s">
        <v>1</v>
      </c>
      <c r="I247" t="s">
        <v>7</v>
      </c>
      <c r="J247">
        <v>1</v>
      </c>
      <c r="K247">
        <v>210</v>
      </c>
      <c r="L247">
        <v>210</v>
      </c>
    </row>
    <row r="248" spans="1:12" x14ac:dyDescent="0.25">
      <c r="A248" s="1">
        <v>45724</v>
      </c>
      <c r="B248">
        <v>2025</v>
      </c>
      <c r="C248" t="s">
        <v>31</v>
      </c>
      <c r="D248" t="s">
        <v>11</v>
      </c>
      <c r="E248" t="s">
        <v>16</v>
      </c>
      <c r="F248" t="s">
        <v>3</v>
      </c>
      <c r="G248" t="s">
        <v>2</v>
      </c>
      <c r="H248" t="s">
        <v>14</v>
      </c>
      <c r="I248" t="s">
        <v>13</v>
      </c>
      <c r="J248">
        <v>4</v>
      </c>
      <c r="K248">
        <v>175</v>
      </c>
      <c r="L248">
        <v>700</v>
      </c>
    </row>
    <row r="249" spans="1:12" x14ac:dyDescent="0.25">
      <c r="A249" s="1">
        <v>45725</v>
      </c>
      <c r="B249">
        <v>2025</v>
      </c>
      <c r="C249" t="s">
        <v>31</v>
      </c>
      <c r="D249" t="s">
        <v>11</v>
      </c>
      <c r="E249" t="s">
        <v>10</v>
      </c>
      <c r="F249" t="s">
        <v>3</v>
      </c>
      <c r="G249" t="s">
        <v>2</v>
      </c>
      <c r="H249" t="s">
        <v>1</v>
      </c>
      <c r="I249" t="s">
        <v>0</v>
      </c>
      <c r="J249">
        <v>2</v>
      </c>
      <c r="K249">
        <v>74</v>
      </c>
      <c r="L249">
        <v>148</v>
      </c>
    </row>
    <row r="250" spans="1:12" x14ac:dyDescent="0.25">
      <c r="A250" s="1">
        <v>45726</v>
      </c>
      <c r="B250">
        <v>2025</v>
      </c>
      <c r="C250" t="s">
        <v>31</v>
      </c>
      <c r="D250" t="s">
        <v>17</v>
      </c>
      <c r="E250" t="s">
        <v>16</v>
      </c>
      <c r="F250" t="s">
        <v>9</v>
      </c>
      <c r="G250" t="s">
        <v>29</v>
      </c>
      <c r="H250" t="s">
        <v>1</v>
      </c>
      <c r="I250" t="s">
        <v>7</v>
      </c>
      <c r="J250">
        <v>6</v>
      </c>
      <c r="K250">
        <v>84</v>
      </c>
      <c r="L250">
        <v>504</v>
      </c>
    </row>
    <row r="251" spans="1:12" x14ac:dyDescent="0.25">
      <c r="A251" s="1">
        <v>45727</v>
      </c>
      <c r="B251">
        <v>2025</v>
      </c>
      <c r="C251" t="s">
        <v>31</v>
      </c>
      <c r="D251" t="s">
        <v>5</v>
      </c>
      <c r="E251" t="s">
        <v>24</v>
      </c>
      <c r="F251" t="s">
        <v>9</v>
      </c>
      <c r="G251" t="s">
        <v>15</v>
      </c>
      <c r="H251" t="s">
        <v>14</v>
      </c>
      <c r="I251" t="s">
        <v>13</v>
      </c>
      <c r="J251">
        <v>5</v>
      </c>
      <c r="K251">
        <v>78</v>
      </c>
      <c r="L251">
        <v>390</v>
      </c>
    </row>
    <row r="252" spans="1:12" x14ac:dyDescent="0.25">
      <c r="A252" s="1">
        <v>45728</v>
      </c>
      <c r="B252">
        <v>2025</v>
      </c>
      <c r="C252" t="s">
        <v>31</v>
      </c>
      <c r="D252" t="s">
        <v>5</v>
      </c>
      <c r="E252" t="s">
        <v>16</v>
      </c>
      <c r="F252" t="s">
        <v>9</v>
      </c>
      <c r="G252" t="s">
        <v>29</v>
      </c>
      <c r="H252" t="s">
        <v>14</v>
      </c>
      <c r="I252" t="s">
        <v>7</v>
      </c>
      <c r="J252">
        <v>2</v>
      </c>
      <c r="K252">
        <v>231</v>
      </c>
      <c r="L252">
        <v>462</v>
      </c>
    </row>
    <row r="253" spans="1:12" x14ac:dyDescent="0.25">
      <c r="A253" s="1">
        <v>45729</v>
      </c>
      <c r="B253">
        <v>2025</v>
      </c>
      <c r="C253" t="s">
        <v>31</v>
      </c>
      <c r="D253" t="s">
        <v>22</v>
      </c>
      <c r="E253" t="s">
        <v>16</v>
      </c>
      <c r="F253" t="s">
        <v>9</v>
      </c>
      <c r="G253" t="s">
        <v>8</v>
      </c>
      <c r="H253" t="s">
        <v>1</v>
      </c>
      <c r="I253" t="s">
        <v>7</v>
      </c>
      <c r="J253">
        <v>3</v>
      </c>
      <c r="K253">
        <v>73</v>
      </c>
      <c r="L253">
        <v>219</v>
      </c>
    </row>
    <row r="254" spans="1:12" x14ac:dyDescent="0.25">
      <c r="A254" s="1">
        <v>45730</v>
      </c>
      <c r="B254">
        <v>2025</v>
      </c>
      <c r="C254" t="s">
        <v>31</v>
      </c>
      <c r="D254" t="s">
        <v>17</v>
      </c>
      <c r="E254" t="s">
        <v>10</v>
      </c>
      <c r="F254" t="s">
        <v>3</v>
      </c>
      <c r="G254" t="s">
        <v>27</v>
      </c>
      <c r="H254" t="s">
        <v>14</v>
      </c>
      <c r="I254" t="s">
        <v>0</v>
      </c>
      <c r="J254">
        <v>1</v>
      </c>
      <c r="K254">
        <v>61</v>
      </c>
      <c r="L254">
        <v>61</v>
      </c>
    </row>
    <row r="255" spans="1:12" x14ac:dyDescent="0.25">
      <c r="A255" s="1">
        <v>45731</v>
      </c>
      <c r="B255">
        <v>2025</v>
      </c>
      <c r="C255" t="s">
        <v>31</v>
      </c>
      <c r="D255" t="s">
        <v>17</v>
      </c>
      <c r="E255" t="s">
        <v>10</v>
      </c>
      <c r="F255" t="s">
        <v>19</v>
      </c>
      <c r="G255" t="s">
        <v>28</v>
      </c>
      <c r="H255" t="s">
        <v>14</v>
      </c>
      <c r="I255" t="s">
        <v>7</v>
      </c>
      <c r="J255">
        <v>2</v>
      </c>
      <c r="K255">
        <v>145</v>
      </c>
      <c r="L255">
        <v>290</v>
      </c>
    </row>
    <row r="256" spans="1:12" x14ac:dyDescent="0.25">
      <c r="A256" s="1">
        <v>45732</v>
      </c>
      <c r="B256">
        <v>2025</v>
      </c>
      <c r="C256" t="s">
        <v>31</v>
      </c>
      <c r="D256" t="s">
        <v>26</v>
      </c>
      <c r="E256" t="s">
        <v>21</v>
      </c>
      <c r="F256" t="s">
        <v>3</v>
      </c>
      <c r="G256" t="s">
        <v>25</v>
      </c>
      <c r="H256" t="s">
        <v>14</v>
      </c>
      <c r="I256" t="s">
        <v>13</v>
      </c>
      <c r="J256">
        <v>2</v>
      </c>
      <c r="K256">
        <v>68</v>
      </c>
      <c r="L256">
        <v>136</v>
      </c>
    </row>
    <row r="257" spans="1:12" x14ac:dyDescent="0.25">
      <c r="A257" s="1">
        <v>45733</v>
      </c>
      <c r="B257">
        <v>2025</v>
      </c>
      <c r="C257" t="s">
        <v>31</v>
      </c>
      <c r="D257" t="s">
        <v>22</v>
      </c>
      <c r="E257" t="s">
        <v>10</v>
      </c>
      <c r="F257" t="s">
        <v>9</v>
      </c>
      <c r="G257" t="s">
        <v>29</v>
      </c>
      <c r="H257" t="s">
        <v>14</v>
      </c>
      <c r="I257" t="s">
        <v>13</v>
      </c>
      <c r="J257">
        <v>4</v>
      </c>
      <c r="K257">
        <v>83</v>
      </c>
      <c r="L257">
        <v>332</v>
      </c>
    </row>
    <row r="258" spans="1:12" x14ac:dyDescent="0.25">
      <c r="A258" s="1">
        <v>45734</v>
      </c>
      <c r="B258">
        <v>2025</v>
      </c>
      <c r="C258" t="s">
        <v>31</v>
      </c>
      <c r="D258" t="s">
        <v>17</v>
      </c>
      <c r="E258" t="s">
        <v>4</v>
      </c>
      <c r="F258" t="s">
        <v>9</v>
      </c>
      <c r="G258" t="s">
        <v>12</v>
      </c>
      <c r="H258" t="s">
        <v>14</v>
      </c>
      <c r="I258" t="s">
        <v>7</v>
      </c>
      <c r="J258">
        <v>1</v>
      </c>
      <c r="K258">
        <v>222</v>
      </c>
      <c r="L258">
        <v>222</v>
      </c>
    </row>
    <row r="259" spans="1:12" x14ac:dyDescent="0.25">
      <c r="A259" s="1">
        <v>45735</v>
      </c>
      <c r="B259">
        <v>2025</v>
      </c>
      <c r="C259" t="s">
        <v>31</v>
      </c>
      <c r="D259" t="s">
        <v>22</v>
      </c>
      <c r="E259" t="s">
        <v>16</v>
      </c>
      <c r="F259" t="s">
        <v>9</v>
      </c>
      <c r="G259" t="s">
        <v>20</v>
      </c>
      <c r="H259" t="s">
        <v>1</v>
      </c>
      <c r="I259" t="s">
        <v>0</v>
      </c>
      <c r="J259">
        <v>4</v>
      </c>
      <c r="K259">
        <v>119</v>
      </c>
      <c r="L259">
        <v>476</v>
      </c>
    </row>
    <row r="260" spans="1:12" x14ac:dyDescent="0.25">
      <c r="A260" s="1">
        <v>45736</v>
      </c>
      <c r="B260">
        <v>2025</v>
      </c>
      <c r="C260" t="s">
        <v>31</v>
      </c>
      <c r="D260" t="s">
        <v>5</v>
      </c>
      <c r="E260" t="s">
        <v>21</v>
      </c>
      <c r="F260" t="s">
        <v>19</v>
      </c>
      <c r="G260" t="s">
        <v>23</v>
      </c>
      <c r="H260" t="s">
        <v>14</v>
      </c>
      <c r="I260" t="s">
        <v>7</v>
      </c>
      <c r="J260">
        <v>1</v>
      </c>
      <c r="K260">
        <v>72</v>
      </c>
      <c r="L260">
        <v>72</v>
      </c>
    </row>
    <row r="261" spans="1:12" x14ac:dyDescent="0.25">
      <c r="A261" s="1">
        <v>45737</v>
      </c>
      <c r="B261">
        <v>2025</v>
      </c>
      <c r="C261" t="s">
        <v>31</v>
      </c>
      <c r="D261" t="s">
        <v>22</v>
      </c>
      <c r="E261" t="s">
        <v>16</v>
      </c>
      <c r="F261" t="s">
        <v>3</v>
      </c>
      <c r="G261" t="s">
        <v>25</v>
      </c>
      <c r="H261" t="s">
        <v>1</v>
      </c>
      <c r="I261" t="s">
        <v>13</v>
      </c>
      <c r="J261">
        <v>2</v>
      </c>
      <c r="K261">
        <v>170</v>
      </c>
      <c r="L261">
        <v>340</v>
      </c>
    </row>
    <row r="262" spans="1:12" x14ac:dyDescent="0.25">
      <c r="A262" s="1">
        <v>45738</v>
      </c>
      <c r="B262">
        <v>2025</v>
      </c>
      <c r="C262" t="s">
        <v>31</v>
      </c>
      <c r="D262" t="s">
        <v>26</v>
      </c>
      <c r="E262" t="s">
        <v>16</v>
      </c>
      <c r="F262" t="s">
        <v>3</v>
      </c>
      <c r="G262" t="s">
        <v>25</v>
      </c>
      <c r="H262" t="s">
        <v>14</v>
      </c>
      <c r="I262" t="s">
        <v>13</v>
      </c>
      <c r="J262">
        <v>2</v>
      </c>
      <c r="K262">
        <v>174</v>
      </c>
      <c r="L262">
        <v>348</v>
      </c>
    </row>
    <row r="263" spans="1:12" x14ac:dyDescent="0.25">
      <c r="A263" s="1">
        <v>45739</v>
      </c>
      <c r="B263">
        <v>2025</v>
      </c>
      <c r="C263" t="s">
        <v>31</v>
      </c>
      <c r="D263" t="s">
        <v>5</v>
      </c>
      <c r="E263" t="s">
        <v>24</v>
      </c>
      <c r="F263" t="s">
        <v>19</v>
      </c>
      <c r="G263" t="s">
        <v>23</v>
      </c>
      <c r="H263" t="s">
        <v>1</v>
      </c>
      <c r="I263" t="s">
        <v>0</v>
      </c>
      <c r="J263">
        <v>6</v>
      </c>
      <c r="K263">
        <v>131</v>
      </c>
      <c r="L263">
        <v>786</v>
      </c>
    </row>
    <row r="264" spans="1:12" x14ac:dyDescent="0.25">
      <c r="A264" s="1">
        <v>45740</v>
      </c>
      <c r="B264">
        <v>2025</v>
      </c>
      <c r="C264" t="s">
        <v>31</v>
      </c>
      <c r="D264" t="s">
        <v>11</v>
      </c>
      <c r="E264" t="s">
        <v>16</v>
      </c>
      <c r="F264" t="s">
        <v>3</v>
      </c>
      <c r="G264" t="s">
        <v>2</v>
      </c>
      <c r="H264" t="s">
        <v>1</v>
      </c>
      <c r="I264" t="s">
        <v>0</v>
      </c>
      <c r="J264">
        <v>6</v>
      </c>
      <c r="K264">
        <v>113</v>
      </c>
      <c r="L264">
        <v>678</v>
      </c>
    </row>
    <row r="265" spans="1:12" x14ac:dyDescent="0.25">
      <c r="A265" s="1">
        <v>45741</v>
      </c>
      <c r="B265">
        <v>2025</v>
      </c>
      <c r="C265" t="s">
        <v>31</v>
      </c>
      <c r="D265" t="s">
        <v>26</v>
      </c>
      <c r="E265" t="s">
        <v>24</v>
      </c>
      <c r="F265" t="s">
        <v>9</v>
      </c>
      <c r="G265" t="s">
        <v>20</v>
      </c>
      <c r="H265" t="s">
        <v>1</v>
      </c>
      <c r="I265" t="s">
        <v>13</v>
      </c>
      <c r="J265">
        <v>2</v>
      </c>
      <c r="K265">
        <v>107</v>
      </c>
      <c r="L265">
        <v>214</v>
      </c>
    </row>
    <row r="266" spans="1:12" x14ac:dyDescent="0.25">
      <c r="A266" s="1">
        <v>45742</v>
      </c>
      <c r="B266">
        <v>2025</v>
      </c>
      <c r="C266" t="s">
        <v>31</v>
      </c>
      <c r="D266" t="s">
        <v>22</v>
      </c>
      <c r="E266" t="s">
        <v>16</v>
      </c>
      <c r="F266" t="s">
        <v>9</v>
      </c>
      <c r="G266" t="s">
        <v>20</v>
      </c>
      <c r="H266" t="s">
        <v>1</v>
      </c>
      <c r="I266" t="s">
        <v>13</v>
      </c>
      <c r="J266">
        <v>6</v>
      </c>
      <c r="K266">
        <v>124</v>
      </c>
      <c r="L266">
        <v>744</v>
      </c>
    </row>
    <row r="267" spans="1:12" x14ac:dyDescent="0.25">
      <c r="A267" s="1">
        <v>45743</v>
      </c>
      <c r="B267">
        <v>2025</v>
      </c>
      <c r="C267" t="s">
        <v>31</v>
      </c>
      <c r="D267" t="s">
        <v>11</v>
      </c>
      <c r="E267" t="s">
        <v>16</v>
      </c>
      <c r="F267" t="s">
        <v>9</v>
      </c>
      <c r="G267" t="s">
        <v>29</v>
      </c>
      <c r="H267" t="s">
        <v>1</v>
      </c>
      <c r="I267" t="s">
        <v>13</v>
      </c>
      <c r="J267">
        <v>5</v>
      </c>
      <c r="K267">
        <v>201</v>
      </c>
      <c r="L267">
        <v>1005</v>
      </c>
    </row>
    <row r="268" spans="1:12" x14ac:dyDescent="0.25">
      <c r="A268" s="1">
        <v>45744</v>
      </c>
      <c r="B268">
        <v>2025</v>
      </c>
      <c r="C268" t="s">
        <v>31</v>
      </c>
      <c r="D268" t="s">
        <v>5</v>
      </c>
      <c r="E268" t="s">
        <v>21</v>
      </c>
      <c r="F268" t="s">
        <v>19</v>
      </c>
      <c r="G268" t="s">
        <v>28</v>
      </c>
      <c r="H268" t="s">
        <v>1</v>
      </c>
      <c r="I268" t="s">
        <v>7</v>
      </c>
      <c r="J268">
        <v>1</v>
      </c>
      <c r="K268">
        <v>197</v>
      </c>
      <c r="L268">
        <v>197</v>
      </c>
    </row>
    <row r="269" spans="1:12" x14ac:dyDescent="0.25">
      <c r="A269" s="1">
        <v>45745</v>
      </c>
      <c r="B269">
        <v>2025</v>
      </c>
      <c r="C269" t="s">
        <v>31</v>
      </c>
      <c r="D269" t="s">
        <v>22</v>
      </c>
      <c r="E269" t="s">
        <v>16</v>
      </c>
      <c r="F269" t="s">
        <v>9</v>
      </c>
      <c r="G269" t="s">
        <v>15</v>
      </c>
      <c r="H269" t="s">
        <v>14</v>
      </c>
      <c r="I269" t="s">
        <v>13</v>
      </c>
      <c r="J269">
        <v>5</v>
      </c>
      <c r="K269">
        <v>199</v>
      </c>
      <c r="L269">
        <v>995</v>
      </c>
    </row>
    <row r="270" spans="1:12" x14ac:dyDescent="0.25">
      <c r="A270" s="1">
        <v>45746</v>
      </c>
      <c r="B270">
        <v>2025</v>
      </c>
      <c r="C270" t="s">
        <v>31</v>
      </c>
      <c r="D270" t="s">
        <v>26</v>
      </c>
      <c r="E270" t="s">
        <v>24</v>
      </c>
      <c r="F270" t="s">
        <v>3</v>
      </c>
      <c r="G270" t="s">
        <v>27</v>
      </c>
      <c r="H270" t="s">
        <v>1</v>
      </c>
      <c r="I270" t="s">
        <v>0</v>
      </c>
      <c r="J270">
        <v>1</v>
      </c>
      <c r="K270">
        <v>168</v>
      </c>
      <c r="L270">
        <v>168</v>
      </c>
    </row>
    <row r="271" spans="1:12" x14ac:dyDescent="0.25">
      <c r="A271" s="1">
        <v>45747</v>
      </c>
      <c r="B271">
        <v>2025</v>
      </c>
      <c r="C271" t="s">
        <v>31</v>
      </c>
      <c r="D271" t="s">
        <v>26</v>
      </c>
      <c r="E271" t="s">
        <v>10</v>
      </c>
      <c r="F271" t="s">
        <v>9</v>
      </c>
      <c r="G271" t="s">
        <v>29</v>
      </c>
      <c r="H271" t="s">
        <v>14</v>
      </c>
      <c r="I271" t="s">
        <v>0</v>
      </c>
      <c r="J271">
        <v>4</v>
      </c>
      <c r="K271">
        <v>84</v>
      </c>
      <c r="L271">
        <v>336</v>
      </c>
    </row>
    <row r="272" spans="1:12" x14ac:dyDescent="0.25">
      <c r="A272" s="1">
        <v>45658</v>
      </c>
      <c r="B272">
        <v>2025</v>
      </c>
      <c r="C272" t="s">
        <v>30</v>
      </c>
      <c r="D272" t="s">
        <v>11</v>
      </c>
      <c r="E272" t="s">
        <v>24</v>
      </c>
      <c r="F272" t="s">
        <v>9</v>
      </c>
      <c r="G272" t="s">
        <v>29</v>
      </c>
      <c r="H272" t="s">
        <v>1</v>
      </c>
      <c r="I272" t="s">
        <v>7</v>
      </c>
      <c r="J272">
        <v>6</v>
      </c>
      <c r="K272">
        <v>106</v>
      </c>
      <c r="L272">
        <v>636</v>
      </c>
    </row>
    <row r="273" spans="1:12" x14ac:dyDescent="0.25">
      <c r="A273" s="1">
        <v>45659</v>
      </c>
      <c r="B273">
        <v>2025</v>
      </c>
      <c r="C273" t="s">
        <v>30</v>
      </c>
      <c r="D273" t="s">
        <v>26</v>
      </c>
      <c r="E273" t="s">
        <v>21</v>
      </c>
      <c r="F273" t="s">
        <v>3</v>
      </c>
      <c r="G273" t="s">
        <v>2</v>
      </c>
      <c r="H273" t="s">
        <v>14</v>
      </c>
      <c r="I273" t="s">
        <v>13</v>
      </c>
      <c r="J273">
        <v>4</v>
      </c>
      <c r="K273">
        <v>154</v>
      </c>
      <c r="L273">
        <v>616</v>
      </c>
    </row>
    <row r="274" spans="1:12" x14ac:dyDescent="0.25">
      <c r="A274" s="1">
        <v>45660</v>
      </c>
      <c r="B274">
        <v>2025</v>
      </c>
      <c r="C274" t="s">
        <v>30</v>
      </c>
      <c r="D274" t="s">
        <v>5</v>
      </c>
      <c r="E274" t="s">
        <v>21</v>
      </c>
      <c r="F274" t="s">
        <v>3</v>
      </c>
      <c r="G274" t="s">
        <v>25</v>
      </c>
      <c r="H274" t="s">
        <v>14</v>
      </c>
      <c r="I274" t="s">
        <v>0</v>
      </c>
      <c r="J274">
        <v>3</v>
      </c>
      <c r="K274">
        <v>72</v>
      </c>
      <c r="L274">
        <v>216</v>
      </c>
    </row>
    <row r="275" spans="1:12" x14ac:dyDescent="0.25">
      <c r="A275" s="1">
        <v>45661</v>
      </c>
      <c r="B275">
        <v>2025</v>
      </c>
      <c r="C275" t="s">
        <v>30</v>
      </c>
      <c r="D275" t="s">
        <v>17</v>
      </c>
      <c r="E275" t="s">
        <v>16</v>
      </c>
      <c r="F275" t="s">
        <v>3</v>
      </c>
      <c r="G275" t="s">
        <v>2</v>
      </c>
      <c r="H275" t="s">
        <v>14</v>
      </c>
      <c r="I275" t="s">
        <v>7</v>
      </c>
      <c r="J275">
        <v>4</v>
      </c>
      <c r="K275">
        <v>113</v>
      </c>
      <c r="L275">
        <v>452</v>
      </c>
    </row>
    <row r="276" spans="1:12" x14ac:dyDescent="0.25">
      <c r="A276" s="1">
        <v>45662</v>
      </c>
      <c r="B276">
        <v>2025</v>
      </c>
      <c r="C276" t="s">
        <v>30</v>
      </c>
      <c r="D276" t="s">
        <v>22</v>
      </c>
      <c r="E276" t="s">
        <v>16</v>
      </c>
      <c r="F276" t="s">
        <v>19</v>
      </c>
      <c r="G276" t="s">
        <v>18</v>
      </c>
      <c r="H276" t="s">
        <v>14</v>
      </c>
      <c r="I276" t="s">
        <v>7</v>
      </c>
      <c r="J276">
        <v>5</v>
      </c>
      <c r="K276">
        <v>208</v>
      </c>
      <c r="L276">
        <v>1040</v>
      </c>
    </row>
    <row r="277" spans="1:12" x14ac:dyDescent="0.25">
      <c r="A277" s="1">
        <v>45663</v>
      </c>
      <c r="B277">
        <v>2025</v>
      </c>
      <c r="C277" t="s">
        <v>30</v>
      </c>
      <c r="D277" t="s">
        <v>17</v>
      </c>
      <c r="E277" t="s">
        <v>10</v>
      </c>
      <c r="F277" t="s">
        <v>9</v>
      </c>
      <c r="G277" t="s">
        <v>8</v>
      </c>
      <c r="H277" t="s">
        <v>1</v>
      </c>
      <c r="I277" t="s">
        <v>0</v>
      </c>
      <c r="J277">
        <v>6</v>
      </c>
      <c r="K277">
        <v>241</v>
      </c>
      <c r="L277">
        <v>1446</v>
      </c>
    </row>
    <row r="278" spans="1:12" x14ac:dyDescent="0.25">
      <c r="A278" s="1">
        <v>45664</v>
      </c>
      <c r="B278">
        <v>2025</v>
      </c>
      <c r="C278" t="s">
        <v>30</v>
      </c>
      <c r="D278" t="s">
        <v>26</v>
      </c>
      <c r="E278" t="s">
        <v>24</v>
      </c>
      <c r="F278" t="s">
        <v>3</v>
      </c>
      <c r="G278" t="s">
        <v>27</v>
      </c>
      <c r="H278" t="s">
        <v>1</v>
      </c>
      <c r="I278" t="s">
        <v>13</v>
      </c>
      <c r="J278">
        <v>5</v>
      </c>
      <c r="K278">
        <v>96</v>
      </c>
      <c r="L278">
        <v>480</v>
      </c>
    </row>
    <row r="279" spans="1:12" x14ac:dyDescent="0.25">
      <c r="A279" s="1">
        <v>45665</v>
      </c>
      <c r="B279">
        <v>2025</v>
      </c>
      <c r="C279" t="s">
        <v>30</v>
      </c>
      <c r="D279" t="s">
        <v>11</v>
      </c>
      <c r="E279" t="s">
        <v>24</v>
      </c>
      <c r="F279" t="s">
        <v>19</v>
      </c>
      <c r="G279" t="s">
        <v>18</v>
      </c>
      <c r="H279" t="s">
        <v>1</v>
      </c>
      <c r="I279" t="s">
        <v>7</v>
      </c>
      <c r="J279">
        <v>5</v>
      </c>
      <c r="K279">
        <v>181</v>
      </c>
      <c r="L279">
        <v>905</v>
      </c>
    </row>
    <row r="280" spans="1:12" x14ac:dyDescent="0.25">
      <c r="A280" s="1">
        <v>45666</v>
      </c>
      <c r="B280">
        <v>2025</v>
      </c>
      <c r="C280" t="s">
        <v>30</v>
      </c>
      <c r="D280" t="s">
        <v>11</v>
      </c>
      <c r="E280" t="s">
        <v>16</v>
      </c>
      <c r="F280" t="s">
        <v>19</v>
      </c>
      <c r="G280" t="s">
        <v>28</v>
      </c>
      <c r="H280" t="s">
        <v>1</v>
      </c>
      <c r="I280" t="s">
        <v>0</v>
      </c>
      <c r="J280">
        <v>5</v>
      </c>
      <c r="K280">
        <v>102</v>
      </c>
      <c r="L280">
        <v>510</v>
      </c>
    </row>
    <row r="281" spans="1:12" x14ac:dyDescent="0.25">
      <c r="A281" s="1">
        <v>45667</v>
      </c>
      <c r="B281">
        <v>2025</v>
      </c>
      <c r="C281" t="s">
        <v>30</v>
      </c>
      <c r="D281" t="s">
        <v>5</v>
      </c>
      <c r="E281" t="s">
        <v>10</v>
      </c>
      <c r="F281" t="s">
        <v>9</v>
      </c>
      <c r="G281" t="s">
        <v>15</v>
      </c>
      <c r="H281" t="s">
        <v>14</v>
      </c>
      <c r="I281" t="s">
        <v>7</v>
      </c>
      <c r="J281">
        <v>1</v>
      </c>
      <c r="K281">
        <v>115</v>
      </c>
      <c r="L281">
        <v>115</v>
      </c>
    </row>
    <row r="282" spans="1:12" x14ac:dyDescent="0.25">
      <c r="A282" s="1">
        <v>45668</v>
      </c>
      <c r="B282">
        <v>2025</v>
      </c>
      <c r="C282" t="s">
        <v>30</v>
      </c>
      <c r="D282" t="s">
        <v>22</v>
      </c>
      <c r="E282" t="s">
        <v>24</v>
      </c>
      <c r="F282" t="s">
        <v>9</v>
      </c>
      <c r="G282" t="s">
        <v>8</v>
      </c>
      <c r="H282" t="s">
        <v>14</v>
      </c>
      <c r="I282" t="s">
        <v>13</v>
      </c>
      <c r="J282">
        <v>4</v>
      </c>
      <c r="K282">
        <v>241</v>
      </c>
      <c r="L282">
        <v>964</v>
      </c>
    </row>
    <row r="283" spans="1:12" x14ac:dyDescent="0.25">
      <c r="A283" s="1">
        <v>45669</v>
      </c>
      <c r="B283">
        <v>2025</v>
      </c>
      <c r="C283" t="s">
        <v>30</v>
      </c>
      <c r="D283" t="s">
        <v>26</v>
      </c>
      <c r="E283" t="s">
        <v>21</v>
      </c>
      <c r="F283" t="s">
        <v>3</v>
      </c>
      <c r="G283" t="s">
        <v>2</v>
      </c>
      <c r="H283" t="s">
        <v>1</v>
      </c>
      <c r="I283" t="s">
        <v>13</v>
      </c>
      <c r="J283">
        <v>1</v>
      </c>
      <c r="K283">
        <v>83</v>
      </c>
      <c r="L283">
        <v>83</v>
      </c>
    </row>
    <row r="284" spans="1:12" x14ac:dyDescent="0.25">
      <c r="A284" s="1">
        <v>45670</v>
      </c>
      <c r="B284">
        <v>2025</v>
      </c>
      <c r="C284" t="s">
        <v>30</v>
      </c>
      <c r="D284" t="s">
        <v>11</v>
      </c>
      <c r="E284" t="s">
        <v>21</v>
      </c>
      <c r="F284" t="s">
        <v>9</v>
      </c>
      <c r="G284" t="s">
        <v>15</v>
      </c>
      <c r="H284" t="s">
        <v>1</v>
      </c>
      <c r="I284" t="s">
        <v>7</v>
      </c>
      <c r="J284">
        <v>4</v>
      </c>
      <c r="K284">
        <v>87</v>
      </c>
      <c r="L284">
        <v>348</v>
      </c>
    </row>
    <row r="285" spans="1:12" x14ac:dyDescent="0.25">
      <c r="A285" s="1">
        <v>45671</v>
      </c>
      <c r="B285">
        <v>2025</v>
      </c>
      <c r="C285" t="s">
        <v>30</v>
      </c>
      <c r="D285" t="s">
        <v>5</v>
      </c>
      <c r="E285" t="s">
        <v>4</v>
      </c>
      <c r="F285" t="s">
        <v>19</v>
      </c>
      <c r="G285" t="s">
        <v>23</v>
      </c>
      <c r="H285" t="s">
        <v>1</v>
      </c>
      <c r="I285" t="s">
        <v>13</v>
      </c>
      <c r="J285">
        <v>5</v>
      </c>
      <c r="K285">
        <v>70</v>
      </c>
      <c r="L285">
        <v>350</v>
      </c>
    </row>
    <row r="286" spans="1:12" x14ac:dyDescent="0.25">
      <c r="A286" s="1">
        <v>45672</v>
      </c>
      <c r="B286">
        <v>2025</v>
      </c>
      <c r="C286" t="s">
        <v>30</v>
      </c>
      <c r="D286" t="s">
        <v>17</v>
      </c>
      <c r="E286" t="s">
        <v>4</v>
      </c>
      <c r="F286" t="s">
        <v>9</v>
      </c>
      <c r="G286" t="s">
        <v>15</v>
      </c>
      <c r="H286" t="s">
        <v>1</v>
      </c>
      <c r="I286" t="s">
        <v>0</v>
      </c>
      <c r="J286">
        <v>5</v>
      </c>
      <c r="K286">
        <v>220</v>
      </c>
      <c r="L286">
        <v>1100</v>
      </c>
    </row>
    <row r="287" spans="1:12" x14ac:dyDescent="0.25">
      <c r="A287" s="1">
        <v>45673</v>
      </c>
      <c r="B287">
        <v>2025</v>
      </c>
      <c r="C287" t="s">
        <v>30</v>
      </c>
      <c r="D287" t="s">
        <v>11</v>
      </c>
      <c r="E287" t="s">
        <v>4</v>
      </c>
      <c r="F287" t="s">
        <v>3</v>
      </c>
      <c r="G287" t="s">
        <v>27</v>
      </c>
      <c r="H287" t="s">
        <v>14</v>
      </c>
      <c r="I287" t="s">
        <v>0</v>
      </c>
      <c r="J287">
        <v>3</v>
      </c>
      <c r="K287">
        <v>129</v>
      </c>
      <c r="L287">
        <v>387</v>
      </c>
    </row>
    <row r="288" spans="1:12" x14ac:dyDescent="0.25">
      <c r="A288" s="1">
        <v>45674</v>
      </c>
      <c r="B288">
        <v>2025</v>
      </c>
      <c r="C288" t="s">
        <v>30</v>
      </c>
      <c r="D288" t="s">
        <v>5</v>
      </c>
      <c r="E288" t="s">
        <v>24</v>
      </c>
      <c r="F288" t="s">
        <v>3</v>
      </c>
      <c r="G288" t="s">
        <v>2</v>
      </c>
      <c r="H288" t="s">
        <v>14</v>
      </c>
      <c r="I288" t="s">
        <v>13</v>
      </c>
      <c r="J288">
        <v>5</v>
      </c>
      <c r="K288">
        <v>215</v>
      </c>
      <c r="L288">
        <v>1075</v>
      </c>
    </row>
    <row r="289" spans="1:12" x14ac:dyDescent="0.25">
      <c r="A289" s="1">
        <v>45675</v>
      </c>
      <c r="B289">
        <v>2025</v>
      </c>
      <c r="C289" t="s">
        <v>30</v>
      </c>
      <c r="D289" t="s">
        <v>5</v>
      </c>
      <c r="E289" t="s">
        <v>24</v>
      </c>
      <c r="F289" t="s">
        <v>9</v>
      </c>
      <c r="G289" t="s">
        <v>29</v>
      </c>
      <c r="H289" t="s">
        <v>14</v>
      </c>
      <c r="I289" t="s">
        <v>13</v>
      </c>
      <c r="J289">
        <v>1</v>
      </c>
      <c r="K289">
        <v>112</v>
      </c>
      <c r="L289">
        <v>112</v>
      </c>
    </row>
    <row r="290" spans="1:12" x14ac:dyDescent="0.25">
      <c r="A290" s="1">
        <v>45676</v>
      </c>
      <c r="B290">
        <v>2025</v>
      </c>
      <c r="C290" t="s">
        <v>30</v>
      </c>
      <c r="D290" t="s">
        <v>11</v>
      </c>
      <c r="E290" t="s">
        <v>24</v>
      </c>
      <c r="F290" t="s">
        <v>9</v>
      </c>
      <c r="G290" t="s">
        <v>8</v>
      </c>
      <c r="H290" t="s">
        <v>1</v>
      </c>
      <c r="I290" t="s">
        <v>0</v>
      </c>
      <c r="J290">
        <v>3</v>
      </c>
      <c r="K290">
        <v>225</v>
      </c>
      <c r="L290">
        <v>675</v>
      </c>
    </row>
    <row r="291" spans="1:12" x14ac:dyDescent="0.25">
      <c r="A291" s="1">
        <v>45677</v>
      </c>
      <c r="B291">
        <v>2025</v>
      </c>
      <c r="C291" t="s">
        <v>30</v>
      </c>
      <c r="D291" t="s">
        <v>17</v>
      </c>
      <c r="E291" t="s">
        <v>10</v>
      </c>
      <c r="F291" t="s">
        <v>19</v>
      </c>
      <c r="G291" t="s">
        <v>18</v>
      </c>
      <c r="H291" t="s">
        <v>14</v>
      </c>
      <c r="I291" t="s">
        <v>7</v>
      </c>
      <c r="J291">
        <v>2</v>
      </c>
      <c r="K291">
        <v>182</v>
      </c>
      <c r="L291">
        <v>364</v>
      </c>
    </row>
    <row r="292" spans="1:12" x14ac:dyDescent="0.25">
      <c r="A292" s="1">
        <v>45678</v>
      </c>
      <c r="B292">
        <v>2025</v>
      </c>
      <c r="C292" t="s">
        <v>30</v>
      </c>
      <c r="D292" t="s">
        <v>17</v>
      </c>
      <c r="E292" t="s">
        <v>16</v>
      </c>
      <c r="F292" t="s">
        <v>9</v>
      </c>
      <c r="G292" t="s">
        <v>20</v>
      </c>
      <c r="H292" t="s">
        <v>14</v>
      </c>
      <c r="I292" t="s">
        <v>13</v>
      </c>
      <c r="J292">
        <v>5</v>
      </c>
      <c r="K292">
        <v>238</v>
      </c>
      <c r="L292">
        <v>1190</v>
      </c>
    </row>
    <row r="293" spans="1:12" x14ac:dyDescent="0.25">
      <c r="A293" s="1">
        <v>45679</v>
      </c>
      <c r="B293">
        <v>2025</v>
      </c>
      <c r="C293" t="s">
        <v>30</v>
      </c>
      <c r="D293" t="s">
        <v>26</v>
      </c>
      <c r="E293" t="s">
        <v>16</v>
      </c>
      <c r="F293" t="s">
        <v>3</v>
      </c>
      <c r="G293" t="s">
        <v>25</v>
      </c>
      <c r="H293" t="s">
        <v>14</v>
      </c>
      <c r="I293" t="s">
        <v>0</v>
      </c>
      <c r="J293">
        <v>6</v>
      </c>
      <c r="K293">
        <v>180</v>
      </c>
      <c r="L293">
        <v>1080</v>
      </c>
    </row>
    <row r="294" spans="1:12" x14ac:dyDescent="0.25">
      <c r="A294" s="1">
        <v>45680</v>
      </c>
      <c r="B294">
        <v>2025</v>
      </c>
      <c r="C294" t="s">
        <v>30</v>
      </c>
      <c r="D294" t="s">
        <v>22</v>
      </c>
      <c r="E294" t="s">
        <v>21</v>
      </c>
      <c r="F294" t="s">
        <v>3</v>
      </c>
      <c r="G294" t="s">
        <v>27</v>
      </c>
      <c r="H294" t="s">
        <v>14</v>
      </c>
      <c r="I294" t="s">
        <v>0</v>
      </c>
      <c r="J294">
        <v>5</v>
      </c>
      <c r="K294">
        <v>65</v>
      </c>
      <c r="L294">
        <v>325</v>
      </c>
    </row>
    <row r="295" spans="1:12" x14ac:dyDescent="0.25">
      <c r="A295" s="1">
        <v>45681</v>
      </c>
      <c r="B295">
        <v>2025</v>
      </c>
      <c r="C295" t="s">
        <v>30</v>
      </c>
      <c r="D295" t="s">
        <v>22</v>
      </c>
      <c r="E295" t="s">
        <v>24</v>
      </c>
      <c r="F295" t="s">
        <v>9</v>
      </c>
      <c r="G295" t="s">
        <v>15</v>
      </c>
      <c r="H295" t="s">
        <v>1</v>
      </c>
      <c r="I295" t="s">
        <v>0</v>
      </c>
      <c r="J295">
        <v>1</v>
      </c>
      <c r="K295">
        <v>180</v>
      </c>
      <c r="L295">
        <v>180</v>
      </c>
    </row>
    <row r="296" spans="1:12" x14ac:dyDescent="0.25">
      <c r="A296" s="1">
        <v>45682</v>
      </c>
      <c r="B296">
        <v>2025</v>
      </c>
      <c r="C296" t="s">
        <v>30</v>
      </c>
      <c r="D296" t="s">
        <v>5</v>
      </c>
      <c r="E296" t="s">
        <v>24</v>
      </c>
      <c r="F296" t="s">
        <v>3</v>
      </c>
      <c r="G296" t="s">
        <v>25</v>
      </c>
      <c r="H296" t="s">
        <v>14</v>
      </c>
      <c r="I296" t="s">
        <v>13</v>
      </c>
      <c r="J296">
        <v>5</v>
      </c>
      <c r="K296">
        <v>219</v>
      </c>
      <c r="L296">
        <v>1095</v>
      </c>
    </row>
    <row r="297" spans="1:12" x14ac:dyDescent="0.25">
      <c r="A297" s="1">
        <v>45683</v>
      </c>
      <c r="B297">
        <v>2025</v>
      </c>
      <c r="C297" t="s">
        <v>30</v>
      </c>
      <c r="D297" t="s">
        <v>22</v>
      </c>
      <c r="E297" t="s">
        <v>16</v>
      </c>
      <c r="F297" t="s">
        <v>9</v>
      </c>
      <c r="G297" t="s">
        <v>8</v>
      </c>
      <c r="H297" t="s">
        <v>1</v>
      </c>
      <c r="I297" t="s">
        <v>7</v>
      </c>
      <c r="J297">
        <v>3</v>
      </c>
      <c r="K297">
        <v>214</v>
      </c>
      <c r="L297">
        <v>642</v>
      </c>
    </row>
    <row r="298" spans="1:12" x14ac:dyDescent="0.25">
      <c r="A298" s="1">
        <v>45684</v>
      </c>
      <c r="B298">
        <v>2025</v>
      </c>
      <c r="C298" t="s">
        <v>30</v>
      </c>
      <c r="D298" t="s">
        <v>22</v>
      </c>
      <c r="E298" t="s">
        <v>4</v>
      </c>
      <c r="F298" t="s">
        <v>9</v>
      </c>
      <c r="G298" t="s">
        <v>8</v>
      </c>
      <c r="H298" t="s">
        <v>1</v>
      </c>
      <c r="I298" t="s">
        <v>0</v>
      </c>
      <c r="J298">
        <v>5</v>
      </c>
      <c r="K298">
        <v>159</v>
      </c>
      <c r="L298">
        <v>795</v>
      </c>
    </row>
    <row r="299" spans="1:12" x14ac:dyDescent="0.25">
      <c r="A299" s="1">
        <v>45685</v>
      </c>
      <c r="B299">
        <v>2025</v>
      </c>
      <c r="C299" t="s">
        <v>30</v>
      </c>
      <c r="D299" t="s">
        <v>22</v>
      </c>
      <c r="E299" t="s">
        <v>21</v>
      </c>
      <c r="F299" t="s">
        <v>3</v>
      </c>
      <c r="G299" t="s">
        <v>2</v>
      </c>
      <c r="H299" t="s">
        <v>14</v>
      </c>
      <c r="I299" t="s">
        <v>0</v>
      </c>
      <c r="J299">
        <v>1</v>
      </c>
      <c r="K299">
        <v>125</v>
      </c>
      <c r="L299">
        <v>125</v>
      </c>
    </row>
    <row r="300" spans="1:12" x14ac:dyDescent="0.25">
      <c r="A300" s="1">
        <v>45686</v>
      </c>
      <c r="B300">
        <v>2025</v>
      </c>
      <c r="C300" t="s">
        <v>30</v>
      </c>
      <c r="D300" t="s">
        <v>22</v>
      </c>
      <c r="E300" t="s">
        <v>24</v>
      </c>
      <c r="F300" t="s">
        <v>19</v>
      </c>
      <c r="G300" t="s">
        <v>23</v>
      </c>
      <c r="H300" t="s">
        <v>14</v>
      </c>
      <c r="I300" t="s">
        <v>0</v>
      </c>
      <c r="J300">
        <v>5</v>
      </c>
      <c r="K300">
        <v>93</v>
      </c>
      <c r="L300">
        <v>465</v>
      </c>
    </row>
    <row r="301" spans="1:12" x14ac:dyDescent="0.25">
      <c r="A301" s="1">
        <v>45687</v>
      </c>
      <c r="B301">
        <v>2025</v>
      </c>
      <c r="C301" t="s">
        <v>30</v>
      </c>
      <c r="D301" t="s">
        <v>17</v>
      </c>
      <c r="E301" t="s">
        <v>10</v>
      </c>
      <c r="F301" t="s">
        <v>19</v>
      </c>
      <c r="G301" t="s">
        <v>23</v>
      </c>
      <c r="H301" t="s">
        <v>1</v>
      </c>
      <c r="I301" t="s">
        <v>13</v>
      </c>
      <c r="J301">
        <v>1</v>
      </c>
      <c r="K301">
        <v>171</v>
      </c>
      <c r="L301">
        <v>171</v>
      </c>
    </row>
    <row r="302" spans="1:12" x14ac:dyDescent="0.25">
      <c r="A302" s="1">
        <v>45688</v>
      </c>
      <c r="B302">
        <v>2025</v>
      </c>
      <c r="C302" t="s">
        <v>30</v>
      </c>
      <c r="D302" t="s">
        <v>22</v>
      </c>
      <c r="E302" t="s">
        <v>21</v>
      </c>
      <c r="F302" t="s">
        <v>19</v>
      </c>
      <c r="G302" t="s">
        <v>28</v>
      </c>
      <c r="H302" t="s">
        <v>14</v>
      </c>
      <c r="I302" t="s">
        <v>0</v>
      </c>
      <c r="J302">
        <v>1</v>
      </c>
      <c r="K302">
        <v>95</v>
      </c>
      <c r="L302">
        <v>95</v>
      </c>
    </row>
    <row r="303" spans="1:12" x14ac:dyDescent="0.25">
      <c r="A303" s="1">
        <v>45689</v>
      </c>
      <c r="B303">
        <v>2025</v>
      </c>
      <c r="C303" t="s">
        <v>6</v>
      </c>
      <c r="D303" t="s">
        <v>11</v>
      </c>
      <c r="E303" t="s">
        <v>10</v>
      </c>
      <c r="F303" t="s">
        <v>3</v>
      </c>
      <c r="G303" t="s">
        <v>2</v>
      </c>
      <c r="H303" t="s">
        <v>14</v>
      </c>
      <c r="I303" t="s">
        <v>7</v>
      </c>
      <c r="J303">
        <v>3</v>
      </c>
      <c r="K303">
        <v>216</v>
      </c>
      <c r="L303">
        <v>648</v>
      </c>
    </row>
    <row r="304" spans="1:12" x14ac:dyDescent="0.25">
      <c r="A304" s="1">
        <v>45690</v>
      </c>
      <c r="B304">
        <v>2025</v>
      </c>
      <c r="C304" t="s">
        <v>6</v>
      </c>
      <c r="D304" t="s">
        <v>22</v>
      </c>
      <c r="E304" t="s">
        <v>10</v>
      </c>
      <c r="F304" t="s">
        <v>9</v>
      </c>
      <c r="G304" t="s">
        <v>20</v>
      </c>
      <c r="H304" t="s">
        <v>14</v>
      </c>
      <c r="I304" t="s">
        <v>7</v>
      </c>
      <c r="J304">
        <v>2</v>
      </c>
      <c r="K304">
        <v>155</v>
      </c>
      <c r="L304">
        <v>310</v>
      </c>
    </row>
    <row r="305" spans="1:12" x14ac:dyDescent="0.25">
      <c r="A305" s="1">
        <v>45691</v>
      </c>
      <c r="B305">
        <v>2025</v>
      </c>
      <c r="C305" t="s">
        <v>6</v>
      </c>
      <c r="D305" t="s">
        <v>5</v>
      </c>
      <c r="E305" t="s">
        <v>16</v>
      </c>
      <c r="F305" t="s">
        <v>19</v>
      </c>
      <c r="G305" t="s">
        <v>28</v>
      </c>
      <c r="H305" t="s">
        <v>14</v>
      </c>
      <c r="I305" t="s">
        <v>0</v>
      </c>
      <c r="J305">
        <v>1</v>
      </c>
      <c r="K305">
        <v>135</v>
      </c>
      <c r="L305">
        <v>135</v>
      </c>
    </row>
    <row r="306" spans="1:12" x14ac:dyDescent="0.25">
      <c r="A306" s="1">
        <v>45692</v>
      </c>
      <c r="B306">
        <v>2025</v>
      </c>
      <c r="C306" t="s">
        <v>6</v>
      </c>
      <c r="D306" t="s">
        <v>11</v>
      </c>
      <c r="E306" t="s">
        <v>4</v>
      </c>
      <c r="F306" t="s">
        <v>19</v>
      </c>
      <c r="G306" t="s">
        <v>28</v>
      </c>
      <c r="H306" t="s">
        <v>1</v>
      </c>
      <c r="I306" t="s">
        <v>13</v>
      </c>
      <c r="J306">
        <v>4</v>
      </c>
      <c r="K306">
        <v>83</v>
      </c>
      <c r="L306">
        <v>332</v>
      </c>
    </row>
    <row r="307" spans="1:12" x14ac:dyDescent="0.25">
      <c r="A307" s="1">
        <v>45693</v>
      </c>
      <c r="B307">
        <v>2025</v>
      </c>
      <c r="C307" t="s">
        <v>6</v>
      </c>
      <c r="D307" t="s">
        <v>17</v>
      </c>
      <c r="E307" t="s">
        <v>4</v>
      </c>
      <c r="F307" t="s">
        <v>3</v>
      </c>
      <c r="G307" t="s">
        <v>27</v>
      </c>
      <c r="H307" t="s">
        <v>1</v>
      </c>
      <c r="I307" t="s">
        <v>13</v>
      </c>
      <c r="J307">
        <v>5</v>
      </c>
      <c r="K307">
        <v>96</v>
      </c>
      <c r="L307">
        <v>480</v>
      </c>
    </row>
    <row r="308" spans="1:12" x14ac:dyDescent="0.25">
      <c r="A308" s="1">
        <v>45694</v>
      </c>
      <c r="B308">
        <v>2025</v>
      </c>
      <c r="C308" t="s">
        <v>6</v>
      </c>
      <c r="D308" t="s">
        <v>26</v>
      </c>
      <c r="E308" t="s">
        <v>10</v>
      </c>
      <c r="F308" t="s">
        <v>3</v>
      </c>
      <c r="G308" t="s">
        <v>27</v>
      </c>
      <c r="H308" t="s">
        <v>14</v>
      </c>
      <c r="I308" t="s">
        <v>13</v>
      </c>
      <c r="J308">
        <v>5</v>
      </c>
      <c r="K308">
        <v>185</v>
      </c>
      <c r="L308">
        <v>925</v>
      </c>
    </row>
    <row r="309" spans="1:12" x14ac:dyDescent="0.25">
      <c r="A309" s="1">
        <v>45695</v>
      </c>
      <c r="B309">
        <v>2025</v>
      </c>
      <c r="C309" t="s">
        <v>6</v>
      </c>
      <c r="D309" t="s">
        <v>11</v>
      </c>
      <c r="E309" t="s">
        <v>21</v>
      </c>
      <c r="F309" t="s">
        <v>3</v>
      </c>
      <c r="G309" t="s">
        <v>2</v>
      </c>
      <c r="H309" t="s">
        <v>1</v>
      </c>
      <c r="I309" t="s">
        <v>13</v>
      </c>
      <c r="J309">
        <v>2</v>
      </c>
      <c r="K309">
        <v>225</v>
      </c>
      <c r="L309">
        <v>450</v>
      </c>
    </row>
    <row r="310" spans="1:12" x14ac:dyDescent="0.25">
      <c r="A310" s="1">
        <v>45696</v>
      </c>
      <c r="B310">
        <v>2025</v>
      </c>
      <c r="C310" t="s">
        <v>6</v>
      </c>
      <c r="D310" t="s">
        <v>22</v>
      </c>
      <c r="E310" t="s">
        <v>10</v>
      </c>
      <c r="F310" t="s">
        <v>9</v>
      </c>
      <c r="G310" t="s">
        <v>12</v>
      </c>
      <c r="H310" t="s">
        <v>14</v>
      </c>
      <c r="I310" t="s">
        <v>7</v>
      </c>
      <c r="J310">
        <v>2</v>
      </c>
      <c r="K310">
        <v>139</v>
      </c>
      <c r="L310">
        <v>278</v>
      </c>
    </row>
    <row r="311" spans="1:12" x14ac:dyDescent="0.25">
      <c r="A311" s="1">
        <v>45697</v>
      </c>
      <c r="B311">
        <v>2025</v>
      </c>
      <c r="C311" t="s">
        <v>6</v>
      </c>
      <c r="D311" t="s">
        <v>26</v>
      </c>
      <c r="E311" t="s">
        <v>10</v>
      </c>
      <c r="F311" t="s">
        <v>19</v>
      </c>
      <c r="G311" t="s">
        <v>28</v>
      </c>
      <c r="H311" t="s">
        <v>14</v>
      </c>
      <c r="I311" t="s">
        <v>7</v>
      </c>
      <c r="J311">
        <v>4</v>
      </c>
      <c r="K311">
        <v>174</v>
      </c>
      <c r="L311">
        <v>696</v>
      </c>
    </row>
    <row r="312" spans="1:12" x14ac:dyDescent="0.25">
      <c r="A312" s="1">
        <v>45698</v>
      </c>
      <c r="B312">
        <v>2025</v>
      </c>
      <c r="C312" t="s">
        <v>6</v>
      </c>
      <c r="D312" t="s">
        <v>26</v>
      </c>
      <c r="E312" t="s">
        <v>10</v>
      </c>
      <c r="F312" t="s">
        <v>3</v>
      </c>
      <c r="G312" t="s">
        <v>2</v>
      </c>
      <c r="H312" t="s">
        <v>14</v>
      </c>
      <c r="I312" t="s">
        <v>0</v>
      </c>
      <c r="J312">
        <v>6</v>
      </c>
      <c r="K312">
        <v>209</v>
      </c>
      <c r="L312">
        <v>1254</v>
      </c>
    </row>
    <row r="313" spans="1:12" x14ac:dyDescent="0.25">
      <c r="A313" s="1">
        <v>45699</v>
      </c>
      <c r="B313">
        <v>2025</v>
      </c>
      <c r="C313" t="s">
        <v>6</v>
      </c>
      <c r="D313" t="s">
        <v>26</v>
      </c>
      <c r="E313" t="s">
        <v>21</v>
      </c>
      <c r="F313" t="s">
        <v>9</v>
      </c>
      <c r="G313" t="s">
        <v>8</v>
      </c>
      <c r="H313" t="s">
        <v>1</v>
      </c>
      <c r="I313" t="s">
        <v>7</v>
      </c>
      <c r="J313">
        <v>1</v>
      </c>
      <c r="K313">
        <v>242</v>
      </c>
      <c r="L313">
        <v>242</v>
      </c>
    </row>
    <row r="314" spans="1:12" x14ac:dyDescent="0.25">
      <c r="A314" s="1">
        <v>45700</v>
      </c>
      <c r="B314">
        <v>2025</v>
      </c>
      <c r="C314" t="s">
        <v>6</v>
      </c>
      <c r="D314" t="s">
        <v>11</v>
      </c>
      <c r="E314" t="s">
        <v>24</v>
      </c>
      <c r="F314" t="s">
        <v>19</v>
      </c>
      <c r="G314" t="s">
        <v>28</v>
      </c>
      <c r="H314" t="s">
        <v>1</v>
      </c>
      <c r="I314" t="s">
        <v>7</v>
      </c>
      <c r="J314">
        <v>4</v>
      </c>
      <c r="K314">
        <v>195</v>
      </c>
      <c r="L314">
        <v>780</v>
      </c>
    </row>
    <row r="315" spans="1:12" x14ac:dyDescent="0.25">
      <c r="A315" s="1">
        <v>45701</v>
      </c>
      <c r="B315">
        <v>2025</v>
      </c>
      <c r="C315" t="s">
        <v>6</v>
      </c>
      <c r="D315" t="s">
        <v>22</v>
      </c>
      <c r="E315" t="s">
        <v>16</v>
      </c>
      <c r="F315" t="s">
        <v>19</v>
      </c>
      <c r="G315" t="s">
        <v>18</v>
      </c>
      <c r="H315" t="s">
        <v>1</v>
      </c>
      <c r="I315" t="s">
        <v>7</v>
      </c>
      <c r="J315">
        <v>2</v>
      </c>
      <c r="K315">
        <v>154</v>
      </c>
      <c r="L315">
        <v>308</v>
      </c>
    </row>
    <row r="316" spans="1:12" x14ac:dyDescent="0.25">
      <c r="A316" s="1">
        <v>45702</v>
      </c>
      <c r="B316">
        <v>2025</v>
      </c>
      <c r="C316" t="s">
        <v>6</v>
      </c>
      <c r="D316" t="s">
        <v>22</v>
      </c>
      <c r="E316" t="s">
        <v>24</v>
      </c>
      <c r="F316" t="s">
        <v>9</v>
      </c>
      <c r="G316" t="s">
        <v>20</v>
      </c>
      <c r="H316" t="s">
        <v>1</v>
      </c>
      <c r="I316" t="s">
        <v>13</v>
      </c>
      <c r="J316">
        <v>3</v>
      </c>
      <c r="K316">
        <v>159</v>
      </c>
      <c r="L316">
        <v>477</v>
      </c>
    </row>
    <row r="317" spans="1:12" x14ac:dyDescent="0.25">
      <c r="A317" s="1">
        <v>45703</v>
      </c>
      <c r="B317">
        <v>2025</v>
      </c>
      <c r="C317" t="s">
        <v>6</v>
      </c>
      <c r="D317" t="s">
        <v>11</v>
      </c>
      <c r="E317" t="s">
        <v>21</v>
      </c>
      <c r="F317" t="s">
        <v>9</v>
      </c>
      <c r="G317" t="s">
        <v>8</v>
      </c>
      <c r="H317" t="s">
        <v>14</v>
      </c>
      <c r="I317" t="s">
        <v>0</v>
      </c>
      <c r="J317">
        <v>2</v>
      </c>
      <c r="K317">
        <v>149</v>
      </c>
      <c r="L317">
        <v>298</v>
      </c>
    </row>
    <row r="318" spans="1:12" x14ac:dyDescent="0.25">
      <c r="A318" s="1">
        <v>45704</v>
      </c>
      <c r="B318">
        <v>2025</v>
      </c>
      <c r="C318" t="s">
        <v>6</v>
      </c>
      <c r="D318" t="s">
        <v>26</v>
      </c>
      <c r="E318" t="s">
        <v>21</v>
      </c>
      <c r="F318" t="s">
        <v>19</v>
      </c>
      <c r="G318" t="s">
        <v>28</v>
      </c>
      <c r="H318" t="s">
        <v>1</v>
      </c>
      <c r="I318" t="s">
        <v>13</v>
      </c>
      <c r="J318">
        <v>5</v>
      </c>
      <c r="K318">
        <v>89</v>
      </c>
      <c r="L318">
        <v>445</v>
      </c>
    </row>
    <row r="319" spans="1:12" x14ac:dyDescent="0.25">
      <c r="A319" s="1">
        <v>45705</v>
      </c>
      <c r="B319">
        <v>2025</v>
      </c>
      <c r="C319" t="s">
        <v>6</v>
      </c>
      <c r="D319" t="s">
        <v>5</v>
      </c>
      <c r="E319" t="s">
        <v>24</v>
      </c>
      <c r="F319" t="s">
        <v>3</v>
      </c>
      <c r="G319" t="s">
        <v>27</v>
      </c>
      <c r="H319" t="s">
        <v>14</v>
      </c>
      <c r="I319" t="s">
        <v>13</v>
      </c>
      <c r="J319">
        <v>4</v>
      </c>
      <c r="K319">
        <v>93</v>
      </c>
      <c r="L319">
        <v>372</v>
      </c>
    </row>
    <row r="320" spans="1:12" x14ac:dyDescent="0.25">
      <c r="A320" s="1">
        <v>45706</v>
      </c>
      <c r="B320">
        <v>2025</v>
      </c>
      <c r="C320" t="s">
        <v>6</v>
      </c>
      <c r="D320" t="s">
        <v>22</v>
      </c>
      <c r="E320" t="s">
        <v>10</v>
      </c>
      <c r="F320" t="s">
        <v>3</v>
      </c>
      <c r="G320" t="s">
        <v>2</v>
      </c>
      <c r="H320" t="s">
        <v>1</v>
      </c>
      <c r="I320" t="s">
        <v>0</v>
      </c>
      <c r="J320">
        <v>5</v>
      </c>
      <c r="K320">
        <v>144</v>
      </c>
      <c r="L320">
        <v>720</v>
      </c>
    </row>
    <row r="321" spans="1:12" x14ac:dyDescent="0.25">
      <c r="A321" s="1">
        <v>45707</v>
      </c>
      <c r="B321">
        <v>2025</v>
      </c>
      <c r="C321" t="s">
        <v>6</v>
      </c>
      <c r="D321" t="s">
        <v>26</v>
      </c>
      <c r="E321" t="s">
        <v>24</v>
      </c>
      <c r="F321" t="s">
        <v>19</v>
      </c>
      <c r="G321" t="s">
        <v>28</v>
      </c>
      <c r="H321" t="s">
        <v>1</v>
      </c>
      <c r="I321" t="s">
        <v>13</v>
      </c>
      <c r="J321">
        <v>2</v>
      </c>
      <c r="K321">
        <v>98</v>
      </c>
      <c r="L321">
        <v>196</v>
      </c>
    </row>
    <row r="322" spans="1:12" x14ac:dyDescent="0.25">
      <c r="A322" s="1">
        <v>45708</v>
      </c>
      <c r="B322">
        <v>2025</v>
      </c>
      <c r="C322" t="s">
        <v>6</v>
      </c>
      <c r="D322" t="s">
        <v>17</v>
      </c>
      <c r="E322" t="s">
        <v>21</v>
      </c>
      <c r="F322" t="s">
        <v>9</v>
      </c>
      <c r="G322" t="s">
        <v>8</v>
      </c>
      <c r="H322" t="s">
        <v>14</v>
      </c>
      <c r="I322" t="s">
        <v>0</v>
      </c>
      <c r="J322">
        <v>5</v>
      </c>
      <c r="K322">
        <v>214</v>
      </c>
      <c r="L322">
        <v>1070</v>
      </c>
    </row>
    <row r="323" spans="1:12" x14ac:dyDescent="0.25">
      <c r="A323" s="1">
        <v>45709</v>
      </c>
      <c r="B323">
        <v>2025</v>
      </c>
      <c r="C323" t="s">
        <v>6</v>
      </c>
      <c r="D323" t="s">
        <v>26</v>
      </c>
      <c r="E323" t="s">
        <v>16</v>
      </c>
      <c r="F323" t="s">
        <v>19</v>
      </c>
      <c r="G323" t="s">
        <v>23</v>
      </c>
      <c r="H323" t="s">
        <v>14</v>
      </c>
      <c r="I323" t="s">
        <v>7</v>
      </c>
      <c r="J323">
        <v>2</v>
      </c>
      <c r="K323">
        <v>235</v>
      </c>
      <c r="L323">
        <v>470</v>
      </c>
    </row>
    <row r="324" spans="1:12" x14ac:dyDescent="0.25">
      <c r="A324" s="1">
        <v>45710</v>
      </c>
      <c r="B324">
        <v>2025</v>
      </c>
      <c r="C324" t="s">
        <v>6</v>
      </c>
      <c r="D324" t="s">
        <v>11</v>
      </c>
      <c r="E324" t="s">
        <v>4</v>
      </c>
      <c r="F324" t="s">
        <v>9</v>
      </c>
      <c r="G324" t="s">
        <v>15</v>
      </c>
      <c r="H324" t="s">
        <v>1</v>
      </c>
      <c r="I324" t="s">
        <v>0</v>
      </c>
      <c r="J324">
        <v>5</v>
      </c>
      <c r="K324">
        <v>223</v>
      </c>
      <c r="L324">
        <v>1115</v>
      </c>
    </row>
    <row r="325" spans="1:12" x14ac:dyDescent="0.25">
      <c r="A325" s="1">
        <v>45711</v>
      </c>
      <c r="B325">
        <v>2025</v>
      </c>
      <c r="C325" t="s">
        <v>6</v>
      </c>
      <c r="D325" t="s">
        <v>11</v>
      </c>
      <c r="E325" t="s">
        <v>10</v>
      </c>
      <c r="F325" t="s">
        <v>19</v>
      </c>
      <c r="G325" t="s">
        <v>23</v>
      </c>
      <c r="H325" t="s">
        <v>1</v>
      </c>
      <c r="I325" t="s">
        <v>13</v>
      </c>
      <c r="J325">
        <v>3</v>
      </c>
      <c r="K325">
        <v>134</v>
      </c>
      <c r="L325">
        <v>402</v>
      </c>
    </row>
    <row r="326" spans="1:12" x14ac:dyDescent="0.25">
      <c r="A326" s="1">
        <v>45712</v>
      </c>
      <c r="B326">
        <v>2025</v>
      </c>
      <c r="C326" t="s">
        <v>6</v>
      </c>
      <c r="D326" t="s">
        <v>26</v>
      </c>
      <c r="E326" t="s">
        <v>4</v>
      </c>
      <c r="F326" t="s">
        <v>9</v>
      </c>
      <c r="G326" t="s">
        <v>20</v>
      </c>
      <c r="H326" t="s">
        <v>1</v>
      </c>
      <c r="I326" t="s">
        <v>7</v>
      </c>
      <c r="J326">
        <v>6</v>
      </c>
      <c r="K326">
        <v>96</v>
      </c>
      <c r="L326">
        <v>576</v>
      </c>
    </row>
    <row r="327" spans="1:12" x14ac:dyDescent="0.25">
      <c r="A327" s="1">
        <v>45713</v>
      </c>
      <c r="B327">
        <v>2025</v>
      </c>
      <c r="C327" t="s">
        <v>6</v>
      </c>
      <c r="D327" t="s">
        <v>17</v>
      </c>
      <c r="E327" t="s">
        <v>4</v>
      </c>
      <c r="F327" t="s">
        <v>19</v>
      </c>
      <c r="G327" t="s">
        <v>23</v>
      </c>
      <c r="H327" t="s">
        <v>1</v>
      </c>
      <c r="I327" t="s">
        <v>7</v>
      </c>
      <c r="J327">
        <v>3</v>
      </c>
      <c r="K327">
        <v>74</v>
      </c>
      <c r="L327">
        <v>222</v>
      </c>
    </row>
    <row r="328" spans="1:12" x14ac:dyDescent="0.25">
      <c r="A328" s="1">
        <v>45714</v>
      </c>
      <c r="B328">
        <v>2025</v>
      </c>
      <c r="C328" t="s">
        <v>6</v>
      </c>
      <c r="D328" t="s">
        <v>5</v>
      </c>
      <c r="E328" t="s">
        <v>21</v>
      </c>
      <c r="F328" t="s">
        <v>19</v>
      </c>
      <c r="G328" t="s">
        <v>18</v>
      </c>
      <c r="H328" t="s">
        <v>14</v>
      </c>
      <c r="I328" t="s">
        <v>7</v>
      </c>
      <c r="J328">
        <v>5</v>
      </c>
      <c r="K328">
        <v>159</v>
      </c>
      <c r="L328">
        <v>795</v>
      </c>
    </row>
    <row r="329" spans="1:12" x14ac:dyDescent="0.25">
      <c r="A329" s="1">
        <v>45715</v>
      </c>
      <c r="B329">
        <v>2025</v>
      </c>
      <c r="C329" t="s">
        <v>6</v>
      </c>
      <c r="D329" t="s">
        <v>22</v>
      </c>
      <c r="E329" t="s">
        <v>24</v>
      </c>
      <c r="F329" t="s">
        <v>3</v>
      </c>
      <c r="G329" t="s">
        <v>27</v>
      </c>
      <c r="H329" t="s">
        <v>14</v>
      </c>
      <c r="I329" t="s">
        <v>0</v>
      </c>
      <c r="J329">
        <v>2</v>
      </c>
      <c r="K329">
        <v>206</v>
      </c>
      <c r="L329">
        <v>412</v>
      </c>
    </row>
    <row r="330" spans="1:12" x14ac:dyDescent="0.25">
      <c r="A330" s="1">
        <v>45716</v>
      </c>
      <c r="B330">
        <v>2025</v>
      </c>
      <c r="C330" t="s">
        <v>6</v>
      </c>
      <c r="D330" t="s">
        <v>22</v>
      </c>
      <c r="E330" t="s">
        <v>16</v>
      </c>
      <c r="F330" t="s">
        <v>9</v>
      </c>
      <c r="G330" t="s">
        <v>8</v>
      </c>
      <c r="H330" t="s">
        <v>14</v>
      </c>
      <c r="I330" t="s">
        <v>13</v>
      </c>
      <c r="J330">
        <v>3</v>
      </c>
      <c r="K330">
        <v>64</v>
      </c>
      <c r="L330">
        <v>192</v>
      </c>
    </row>
    <row r="331" spans="1:12" x14ac:dyDescent="0.25">
      <c r="A331" s="1">
        <v>45717</v>
      </c>
      <c r="B331">
        <v>2025</v>
      </c>
      <c r="C331" t="s">
        <v>31</v>
      </c>
      <c r="D331" t="s">
        <v>11</v>
      </c>
      <c r="E331" t="s">
        <v>24</v>
      </c>
      <c r="F331" t="s">
        <v>3</v>
      </c>
      <c r="G331" t="s">
        <v>27</v>
      </c>
      <c r="H331" t="s">
        <v>1</v>
      </c>
      <c r="I331" t="s">
        <v>7</v>
      </c>
      <c r="J331">
        <v>4</v>
      </c>
      <c r="K331">
        <v>118</v>
      </c>
      <c r="L331">
        <v>472</v>
      </c>
    </row>
    <row r="332" spans="1:12" x14ac:dyDescent="0.25">
      <c r="A332" s="1">
        <v>45718</v>
      </c>
      <c r="B332">
        <v>2025</v>
      </c>
      <c r="C332" t="s">
        <v>31</v>
      </c>
      <c r="D332" t="s">
        <v>26</v>
      </c>
      <c r="E332" t="s">
        <v>16</v>
      </c>
      <c r="F332" t="s">
        <v>3</v>
      </c>
      <c r="G332" t="s">
        <v>2</v>
      </c>
      <c r="H332" t="s">
        <v>1</v>
      </c>
      <c r="I332" t="s">
        <v>0</v>
      </c>
      <c r="J332">
        <v>2</v>
      </c>
      <c r="K332">
        <v>235</v>
      </c>
      <c r="L332">
        <v>470</v>
      </c>
    </row>
    <row r="333" spans="1:12" x14ac:dyDescent="0.25">
      <c r="A333" s="1">
        <v>45719</v>
      </c>
      <c r="B333">
        <v>2025</v>
      </c>
      <c r="C333" t="s">
        <v>31</v>
      </c>
      <c r="D333" t="s">
        <v>22</v>
      </c>
      <c r="E333" t="s">
        <v>10</v>
      </c>
      <c r="F333" t="s">
        <v>19</v>
      </c>
      <c r="G333" t="s">
        <v>28</v>
      </c>
      <c r="H333" t="s">
        <v>1</v>
      </c>
      <c r="I333" t="s">
        <v>13</v>
      </c>
      <c r="J333">
        <v>3</v>
      </c>
      <c r="K333">
        <v>107</v>
      </c>
      <c r="L333">
        <v>321</v>
      </c>
    </row>
    <row r="334" spans="1:12" x14ac:dyDescent="0.25">
      <c r="A334" s="1">
        <v>45720</v>
      </c>
      <c r="B334">
        <v>2025</v>
      </c>
      <c r="C334" t="s">
        <v>31</v>
      </c>
      <c r="D334" t="s">
        <v>17</v>
      </c>
      <c r="E334" t="s">
        <v>21</v>
      </c>
      <c r="F334" t="s">
        <v>9</v>
      </c>
      <c r="G334" t="s">
        <v>20</v>
      </c>
      <c r="H334" t="s">
        <v>14</v>
      </c>
      <c r="I334" t="s">
        <v>13</v>
      </c>
      <c r="J334">
        <v>3</v>
      </c>
      <c r="K334">
        <v>240</v>
      </c>
      <c r="L334">
        <v>720</v>
      </c>
    </row>
    <row r="335" spans="1:12" x14ac:dyDescent="0.25">
      <c r="A335" s="1">
        <v>45721</v>
      </c>
      <c r="B335">
        <v>2025</v>
      </c>
      <c r="C335" t="s">
        <v>31</v>
      </c>
      <c r="D335" t="s">
        <v>26</v>
      </c>
      <c r="E335" t="s">
        <v>10</v>
      </c>
      <c r="F335" t="s">
        <v>3</v>
      </c>
      <c r="G335" t="s">
        <v>2</v>
      </c>
      <c r="H335" t="s">
        <v>1</v>
      </c>
      <c r="I335" t="s">
        <v>13</v>
      </c>
      <c r="J335">
        <v>5</v>
      </c>
      <c r="K335">
        <v>121</v>
      </c>
      <c r="L335">
        <v>605</v>
      </c>
    </row>
    <row r="336" spans="1:12" x14ac:dyDescent="0.25">
      <c r="A336" s="1">
        <v>45722</v>
      </c>
      <c r="B336">
        <v>2025</v>
      </c>
      <c r="C336" t="s">
        <v>31</v>
      </c>
      <c r="D336" t="s">
        <v>22</v>
      </c>
      <c r="E336" t="s">
        <v>24</v>
      </c>
      <c r="F336" t="s">
        <v>19</v>
      </c>
      <c r="G336" t="s">
        <v>28</v>
      </c>
      <c r="H336" t="s">
        <v>14</v>
      </c>
      <c r="I336" t="s">
        <v>0</v>
      </c>
      <c r="J336">
        <v>4</v>
      </c>
      <c r="K336">
        <v>170</v>
      </c>
      <c r="L336">
        <v>680</v>
      </c>
    </row>
    <row r="337" spans="1:12" x14ac:dyDescent="0.25">
      <c r="A337" s="1">
        <v>45723</v>
      </c>
      <c r="B337">
        <v>2025</v>
      </c>
      <c r="C337" t="s">
        <v>31</v>
      </c>
      <c r="D337" t="s">
        <v>5</v>
      </c>
      <c r="E337" t="s">
        <v>10</v>
      </c>
      <c r="F337" t="s">
        <v>9</v>
      </c>
      <c r="G337" t="s">
        <v>15</v>
      </c>
      <c r="H337" t="s">
        <v>1</v>
      </c>
      <c r="I337" t="s">
        <v>7</v>
      </c>
      <c r="J337">
        <v>6</v>
      </c>
      <c r="K337">
        <v>126</v>
      </c>
      <c r="L337">
        <v>756</v>
      </c>
    </row>
    <row r="338" spans="1:12" x14ac:dyDescent="0.25">
      <c r="A338" s="1">
        <v>45724</v>
      </c>
      <c r="B338">
        <v>2025</v>
      </c>
      <c r="C338" t="s">
        <v>31</v>
      </c>
      <c r="D338" t="s">
        <v>5</v>
      </c>
      <c r="E338" t="s">
        <v>24</v>
      </c>
      <c r="F338" t="s">
        <v>9</v>
      </c>
      <c r="G338" t="s">
        <v>29</v>
      </c>
      <c r="H338" t="s">
        <v>14</v>
      </c>
      <c r="I338" t="s">
        <v>7</v>
      </c>
      <c r="J338">
        <v>6</v>
      </c>
      <c r="K338">
        <v>100</v>
      </c>
      <c r="L338">
        <v>600</v>
      </c>
    </row>
    <row r="339" spans="1:12" x14ac:dyDescent="0.25">
      <c r="A339" s="1">
        <v>45725</v>
      </c>
      <c r="B339">
        <v>2025</v>
      </c>
      <c r="C339" t="s">
        <v>31</v>
      </c>
      <c r="D339" t="s">
        <v>22</v>
      </c>
      <c r="E339" t="s">
        <v>10</v>
      </c>
      <c r="F339" t="s">
        <v>9</v>
      </c>
      <c r="G339" t="s">
        <v>12</v>
      </c>
      <c r="H339" t="s">
        <v>1</v>
      </c>
      <c r="I339" t="s">
        <v>13</v>
      </c>
      <c r="J339">
        <v>3</v>
      </c>
      <c r="K339">
        <v>67</v>
      </c>
      <c r="L339">
        <v>201</v>
      </c>
    </row>
    <row r="340" spans="1:12" x14ac:dyDescent="0.25">
      <c r="A340" s="1">
        <v>45726</v>
      </c>
      <c r="B340">
        <v>2025</v>
      </c>
      <c r="C340" t="s">
        <v>31</v>
      </c>
      <c r="D340" t="s">
        <v>17</v>
      </c>
      <c r="E340" t="s">
        <v>16</v>
      </c>
      <c r="F340" t="s">
        <v>19</v>
      </c>
      <c r="G340" t="s">
        <v>28</v>
      </c>
      <c r="H340" t="s">
        <v>14</v>
      </c>
      <c r="I340" t="s">
        <v>13</v>
      </c>
      <c r="J340">
        <v>6</v>
      </c>
      <c r="K340">
        <v>64</v>
      </c>
      <c r="L340">
        <v>384</v>
      </c>
    </row>
    <row r="341" spans="1:12" x14ac:dyDescent="0.25">
      <c r="A341" s="1">
        <v>45727</v>
      </c>
      <c r="B341">
        <v>2025</v>
      </c>
      <c r="C341" t="s">
        <v>31</v>
      </c>
      <c r="D341" t="s">
        <v>17</v>
      </c>
      <c r="E341" t="s">
        <v>24</v>
      </c>
      <c r="F341" t="s">
        <v>3</v>
      </c>
      <c r="G341" t="s">
        <v>27</v>
      </c>
      <c r="H341" t="s">
        <v>1</v>
      </c>
      <c r="I341" t="s">
        <v>7</v>
      </c>
      <c r="J341">
        <v>4</v>
      </c>
      <c r="K341">
        <v>78</v>
      </c>
      <c r="L341">
        <v>312</v>
      </c>
    </row>
    <row r="342" spans="1:12" x14ac:dyDescent="0.25">
      <c r="A342" s="1">
        <v>45728</v>
      </c>
      <c r="B342">
        <v>2025</v>
      </c>
      <c r="C342" t="s">
        <v>31</v>
      </c>
      <c r="D342" t="s">
        <v>26</v>
      </c>
      <c r="E342" t="s">
        <v>4</v>
      </c>
      <c r="F342" t="s">
        <v>19</v>
      </c>
      <c r="G342" t="s">
        <v>18</v>
      </c>
      <c r="H342" t="s">
        <v>14</v>
      </c>
      <c r="I342" t="s">
        <v>13</v>
      </c>
      <c r="J342">
        <v>2</v>
      </c>
      <c r="K342">
        <v>142</v>
      </c>
      <c r="L342">
        <v>284</v>
      </c>
    </row>
    <row r="343" spans="1:12" x14ac:dyDescent="0.25">
      <c r="A343" s="1">
        <v>45729</v>
      </c>
      <c r="B343">
        <v>2025</v>
      </c>
      <c r="C343" t="s">
        <v>31</v>
      </c>
      <c r="D343" t="s">
        <v>26</v>
      </c>
      <c r="E343" t="s">
        <v>10</v>
      </c>
      <c r="F343" t="s">
        <v>9</v>
      </c>
      <c r="G343" t="s">
        <v>15</v>
      </c>
      <c r="H343" t="s">
        <v>14</v>
      </c>
      <c r="I343" t="s">
        <v>7</v>
      </c>
      <c r="J343">
        <v>1</v>
      </c>
      <c r="K343">
        <v>139</v>
      </c>
      <c r="L343">
        <v>139</v>
      </c>
    </row>
    <row r="344" spans="1:12" x14ac:dyDescent="0.25">
      <c r="A344" s="1">
        <v>45730</v>
      </c>
      <c r="B344">
        <v>2025</v>
      </c>
      <c r="C344" t="s">
        <v>31</v>
      </c>
      <c r="D344" t="s">
        <v>17</v>
      </c>
      <c r="E344" t="s">
        <v>21</v>
      </c>
      <c r="F344" t="s">
        <v>3</v>
      </c>
      <c r="G344" t="s">
        <v>2</v>
      </c>
      <c r="H344" t="s">
        <v>14</v>
      </c>
      <c r="I344" t="s">
        <v>0</v>
      </c>
      <c r="J344">
        <v>5</v>
      </c>
      <c r="K344">
        <v>242</v>
      </c>
      <c r="L344">
        <v>1210</v>
      </c>
    </row>
    <row r="345" spans="1:12" x14ac:dyDescent="0.25">
      <c r="A345" s="1">
        <v>45731</v>
      </c>
      <c r="B345">
        <v>2025</v>
      </c>
      <c r="C345" t="s">
        <v>31</v>
      </c>
      <c r="D345" t="s">
        <v>11</v>
      </c>
      <c r="E345" t="s">
        <v>4</v>
      </c>
      <c r="F345" t="s">
        <v>3</v>
      </c>
      <c r="G345" t="s">
        <v>25</v>
      </c>
      <c r="H345" t="s">
        <v>1</v>
      </c>
      <c r="I345" t="s">
        <v>13</v>
      </c>
      <c r="J345">
        <v>1</v>
      </c>
      <c r="K345">
        <v>218</v>
      </c>
      <c r="L345">
        <v>218</v>
      </c>
    </row>
    <row r="346" spans="1:12" x14ac:dyDescent="0.25">
      <c r="A346" s="1">
        <v>45732</v>
      </c>
      <c r="B346">
        <v>2025</v>
      </c>
      <c r="C346" t="s">
        <v>31</v>
      </c>
      <c r="D346" t="s">
        <v>17</v>
      </c>
      <c r="E346" t="s">
        <v>16</v>
      </c>
      <c r="F346" t="s">
        <v>3</v>
      </c>
      <c r="G346" t="s">
        <v>25</v>
      </c>
      <c r="H346" t="s">
        <v>14</v>
      </c>
      <c r="I346" t="s">
        <v>13</v>
      </c>
      <c r="J346">
        <v>6</v>
      </c>
      <c r="K346">
        <v>183</v>
      </c>
      <c r="L346">
        <v>1098</v>
      </c>
    </row>
    <row r="347" spans="1:12" x14ac:dyDescent="0.25">
      <c r="A347" s="1">
        <v>45733</v>
      </c>
      <c r="B347">
        <v>2025</v>
      </c>
      <c r="C347" t="s">
        <v>31</v>
      </c>
      <c r="D347" t="s">
        <v>22</v>
      </c>
      <c r="E347" t="s">
        <v>16</v>
      </c>
      <c r="F347" t="s">
        <v>3</v>
      </c>
      <c r="G347" t="s">
        <v>25</v>
      </c>
      <c r="H347" t="s">
        <v>14</v>
      </c>
      <c r="I347" t="s">
        <v>13</v>
      </c>
      <c r="J347">
        <v>1</v>
      </c>
      <c r="K347">
        <v>158</v>
      </c>
      <c r="L347">
        <v>158</v>
      </c>
    </row>
    <row r="348" spans="1:12" x14ac:dyDescent="0.25">
      <c r="A348" s="1">
        <v>45734</v>
      </c>
      <c r="B348">
        <v>2025</v>
      </c>
      <c r="C348" t="s">
        <v>31</v>
      </c>
      <c r="D348" t="s">
        <v>26</v>
      </c>
      <c r="E348" t="s">
        <v>16</v>
      </c>
      <c r="F348" t="s">
        <v>3</v>
      </c>
      <c r="G348" t="s">
        <v>2</v>
      </c>
      <c r="H348" t="s">
        <v>14</v>
      </c>
      <c r="I348" t="s">
        <v>13</v>
      </c>
      <c r="J348">
        <v>4</v>
      </c>
      <c r="K348">
        <v>223</v>
      </c>
      <c r="L348">
        <v>892</v>
      </c>
    </row>
    <row r="349" spans="1:12" x14ac:dyDescent="0.25">
      <c r="A349" s="1">
        <v>45735</v>
      </c>
      <c r="B349">
        <v>2025</v>
      </c>
      <c r="C349" t="s">
        <v>31</v>
      </c>
      <c r="D349" t="s">
        <v>17</v>
      </c>
      <c r="E349" t="s">
        <v>10</v>
      </c>
      <c r="F349" t="s">
        <v>9</v>
      </c>
      <c r="G349" t="s">
        <v>8</v>
      </c>
      <c r="H349" t="s">
        <v>14</v>
      </c>
      <c r="I349" t="s">
        <v>0</v>
      </c>
      <c r="J349">
        <v>3</v>
      </c>
      <c r="K349">
        <v>206</v>
      </c>
      <c r="L349">
        <v>618</v>
      </c>
    </row>
    <row r="350" spans="1:12" x14ac:dyDescent="0.25">
      <c r="A350" s="1">
        <v>45736</v>
      </c>
      <c r="B350">
        <v>2025</v>
      </c>
      <c r="C350" t="s">
        <v>31</v>
      </c>
      <c r="D350" t="s">
        <v>5</v>
      </c>
      <c r="E350" t="s">
        <v>21</v>
      </c>
      <c r="F350" t="s">
        <v>9</v>
      </c>
      <c r="G350" t="s">
        <v>12</v>
      </c>
      <c r="H350" t="s">
        <v>14</v>
      </c>
      <c r="I350" t="s">
        <v>7</v>
      </c>
      <c r="J350">
        <v>2</v>
      </c>
      <c r="K350">
        <v>179</v>
      </c>
      <c r="L350">
        <v>358</v>
      </c>
    </row>
    <row r="351" spans="1:12" x14ac:dyDescent="0.25">
      <c r="A351" s="1">
        <v>45737</v>
      </c>
      <c r="B351">
        <v>2025</v>
      </c>
      <c r="C351" t="s">
        <v>31</v>
      </c>
      <c r="D351" t="s">
        <v>26</v>
      </c>
      <c r="E351" t="s">
        <v>21</v>
      </c>
      <c r="F351" t="s">
        <v>19</v>
      </c>
      <c r="G351" t="s">
        <v>18</v>
      </c>
      <c r="H351" t="s">
        <v>14</v>
      </c>
      <c r="I351" t="s">
        <v>7</v>
      </c>
      <c r="J351">
        <v>2</v>
      </c>
      <c r="K351">
        <v>124</v>
      </c>
      <c r="L351">
        <v>248</v>
      </c>
    </row>
    <row r="352" spans="1:12" x14ac:dyDescent="0.25">
      <c r="A352" s="1">
        <v>45738</v>
      </c>
      <c r="B352">
        <v>2025</v>
      </c>
      <c r="C352" t="s">
        <v>31</v>
      </c>
      <c r="D352" t="s">
        <v>11</v>
      </c>
      <c r="E352" t="s">
        <v>4</v>
      </c>
      <c r="F352" t="s">
        <v>3</v>
      </c>
      <c r="G352" t="s">
        <v>27</v>
      </c>
      <c r="H352" t="s">
        <v>14</v>
      </c>
      <c r="I352" t="s">
        <v>13</v>
      </c>
      <c r="J352">
        <v>6</v>
      </c>
      <c r="K352">
        <v>103</v>
      </c>
      <c r="L352">
        <v>618</v>
      </c>
    </row>
    <row r="353" spans="1:12" x14ac:dyDescent="0.25">
      <c r="A353" s="1">
        <v>45739</v>
      </c>
      <c r="B353">
        <v>2025</v>
      </c>
      <c r="C353" t="s">
        <v>31</v>
      </c>
      <c r="D353" t="s">
        <v>22</v>
      </c>
      <c r="E353" t="s">
        <v>10</v>
      </c>
      <c r="F353" t="s">
        <v>3</v>
      </c>
      <c r="G353" t="s">
        <v>27</v>
      </c>
      <c r="H353" t="s">
        <v>14</v>
      </c>
      <c r="I353" t="s">
        <v>13</v>
      </c>
      <c r="J353">
        <v>5</v>
      </c>
      <c r="K353">
        <v>142</v>
      </c>
      <c r="L353">
        <v>710</v>
      </c>
    </row>
    <row r="354" spans="1:12" x14ac:dyDescent="0.25">
      <c r="A354" s="1">
        <v>45740</v>
      </c>
      <c r="B354">
        <v>2025</v>
      </c>
      <c r="C354" t="s">
        <v>31</v>
      </c>
      <c r="D354" t="s">
        <v>17</v>
      </c>
      <c r="E354" t="s">
        <v>16</v>
      </c>
      <c r="F354" t="s">
        <v>9</v>
      </c>
      <c r="G354" t="s">
        <v>20</v>
      </c>
      <c r="H354" t="s">
        <v>14</v>
      </c>
      <c r="I354" t="s">
        <v>13</v>
      </c>
      <c r="J354">
        <v>2</v>
      </c>
      <c r="K354">
        <v>234</v>
      </c>
      <c r="L354">
        <v>468</v>
      </c>
    </row>
    <row r="355" spans="1:12" x14ac:dyDescent="0.25">
      <c r="A355" s="1">
        <v>45741</v>
      </c>
      <c r="B355">
        <v>2025</v>
      </c>
      <c r="C355" t="s">
        <v>31</v>
      </c>
      <c r="D355" t="s">
        <v>17</v>
      </c>
      <c r="E355" t="s">
        <v>24</v>
      </c>
      <c r="F355" t="s">
        <v>3</v>
      </c>
      <c r="G355" t="s">
        <v>25</v>
      </c>
      <c r="H355" t="s">
        <v>1</v>
      </c>
      <c r="I355" t="s">
        <v>7</v>
      </c>
      <c r="J355">
        <v>3</v>
      </c>
      <c r="K355">
        <v>223</v>
      </c>
      <c r="L355">
        <v>669</v>
      </c>
    </row>
    <row r="356" spans="1:12" x14ac:dyDescent="0.25">
      <c r="A356" s="1">
        <v>45742</v>
      </c>
      <c r="B356">
        <v>2025</v>
      </c>
      <c r="C356" t="s">
        <v>31</v>
      </c>
      <c r="D356" t="s">
        <v>5</v>
      </c>
      <c r="E356" t="s">
        <v>16</v>
      </c>
      <c r="F356" t="s">
        <v>3</v>
      </c>
      <c r="G356" t="s">
        <v>27</v>
      </c>
      <c r="H356" t="s">
        <v>1</v>
      </c>
      <c r="I356" t="s">
        <v>13</v>
      </c>
      <c r="J356">
        <v>5</v>
      </c>
      <c r="K356">
        <v>93</v>
      </c>
      <c r="L356">
        <v>465</v>
      </c>
    </row>
    <row r="357" spans="1:12" x14ac:dyDescent="0.25">
      <c r="A357" s="1">
        <v>45743</v>
      </c>
      <c r="B357">
        <v>2025</v>
      </c>
      <c r="C357" t="s">
        <v>31</v>
      </c>
      <c r="D357" t="s">
        <v>11</v>
      </c>
      <c r="E357" t="s">
        <v>4</v>
      </c>
      <c r="F357" t="s">
        <v>3</v>
      </c>
      <c r="G357" t="s">
        <v>25</v>
      </c>
      <c r="H357" t="s">
        <v>1</v>
      </c>
      <c r="I357" t="s">
        <v>0</v>
      </c>
      <c r="J357">
        <v>4</v>
      </c>
      <c r="K357">
        <v>239</v>
      </c>
      <c r="L357">
        <v>956</v>
      </c>
    </row>
    <row r="358" spans="1:12" x14ac:dyDescent="0.25">
      <c r="A358" s="1">
        <v>45744</v>
      </c>
      <c r="B358">
        <v>2025</v>
      </c>
      <c r="C358" t="s">
        <v>31</v>
      </c>
      <c r="D358" t="s">
        <v>22</v>
      </c>
      <c r="E358" t="s">
        <v>16</v>
      </c>
      <c r="F358" t="s">
        <v>3</v>
      </c>
      <c r="G358" t="s">
        <v>25</v>
      </c>
      <c r="H358" t="s">
        <v>14</v>
      </c>
      <c r="I358" t="s">
        <v>13</v>
      </c>
      <c r="J358">
        <v>1</v>
      </c>
      <c r="K358">
        <v>164</v>
      </c>
      <c r="L358">
        <v>164</v>
      </c>
    </row>
    <row r="359" spans="1:12" x14ac:dyDescent="0.25">
      <c r="A359" s="1">
        <v>45745</v>
      </c>
      <c r="B359">
        <v>2025</v>
      </c>
      <c r="C359" t="s">
        <v>31</v>
      </c>
      <c r="D359" t="s">
        <v>17</v>
      </c>
      <c r="E359" t="s">
        <v>4</v>
      </c>
      <c r="F359" t="s">
        <v>3</v>
      </c>
      <c r="G359" t="s">
        <v>2</v>
      </c>
      <c r="H359" t="s">
        <v>14</v>
      </c>
      <c r="I359" t="s">
        <v>7</v>
      </c>
      <c r="J359">
        <v>3</v>
      </c>
      <c r="K359">
        <v>235</v>
      </c>
      <c r="L359">
        <v>705</v>
      </c>
    </row>
    <row r="360" spans="1:12" x14ac:dyDescent="0.25">
      <c r="A360" s="1">
        <v>45746</v>
      </c>
      <c r="B360">
        <v>2025</v>
      </c>
      <c r="C360" t="s">
        <v>31</v>
      </c>
      <c r="D360" t="s">
        <v>26</v>
      </c>
      <c r="E360" t="s">
        <v>10</v>
      </c>
      <c r="F360" t="s">
        <v>3</v>
      </c>
      <c r="G360" t="s">
        <v>2</v>
      </c>
      <c r="H360" t="s">
        <v>14</v>
      </c>
      <c r="I360" t="s">
        <v>13</v>
      </c>
      <c r="J360">
        <v>2</v>
      </c>
      <c r="K360">
        <v>143</v>
      </c>
      <c r="L360">
        <v>286</v>
      </c>
    </row>
    <row r="361" spans="1:12" x14ac:dyDescent="0.25">
      <c r="A361" s="1">
        <v>45747</v>
      </c>
      <c r="B361">
        <v>2025</v>
      </c>
      <c r="C361" t="s">
        <v>31</v>
      </c>
      <c r="D361" t="s">
        <v>17</v>
      </c>
      <c r="E361" t="s">
        <v>24</v>
      </c>
      <c r="F361" t="s">
        <v>3</v>
      </c>
      <c r="G361" t="s">
        <v>25</v>
      </c>
      <c r="H361" t="s">
        <v>14</v>
      </c>
      <c r="I361" t="s">
        <v>7</v>
      </c>
      <c r="J361">
        <v>3</v>
      </c>
      <c r="K361">
        <v>250</v>
      </c>
      <c r="L361">
        <v>750</v>
      </c>
    </row>
    <row r="362" spans="1:12" x14ac:dyDescent="0.25">
      <c r="A362" s="1">
        <v>45658</v>
      </c>
      <c r="B362">
        <v>2025</v>
      </c>
      <c r="C362" t="s">
        <v>30</v>
      </c>
      <c r="D362" t="s">
        <v>11</v>
      </c>
      <c r="E362" t="s">
        <v>16</v>
      </c>
      <c r="F362" t="s">
        <v>19</v>
      </c>
      <c r="G362" t="s">
        <v>23</v>
      </c>
      <c r="H362" t="s">
        <v>1</v>
      </c>
      <c r="I362" t="s">
        <v>13</v>
      </c>
      <c r="J362">
        <v>5</v>
      </c>
      <c r="K362">
        <v>108</v>
      </c>
      <c r="L362">
        <v>540</v>
      </c>
    </row>
    <row r="363" spans="1:12" x14ac:dyDescent="0.25">
      <c r="A363" s="1">
        <v>45659</v>
      </c>
      <c r="B363">
        <v>2025</v>
      </c>
      <c r="C363" t="s">
        <v>30</v>
      </c>
      <c r="D363" t="s">
        <v>5</v>
      </c>
      <c r="E363" t="s">
        <v>21</v>
      </c>
      <c r="F363" t="s">
        <v>19</v>
      </c>
      <c r="G363" t="s">
        <v>18</v>
      </c>
      <c r="H363" t="s">
        <v>14</v>
      </c>
      <c r="I363" t="s">
        <v>13</v>
      </c>
      <c r="J363">
        <v>6</v>
      </c>
      <c r="K363">
        <v>69</v>
      </c>
      <c r="L363">
        <v>414</v>
      </c>
    </row>
    <row r="364" spans="1:12" x14ac:dyDescent="0.25">
      <c r="A364" s="1">
        <v>45660</v>
      </c>
      <c r="B364">
        <v>2025</v>
      </c>
      <c r="C364" t="s">
        <v>30</v>
      </c>
      <c r="D364" t="s">
        <v>22</v>
      </c>
      <c r="E364" t="s">
        <v>16</v>
      </c>
      <c r="F364" t="s">
        <v>3</v>
      </c>
      <c r="G364" t="s">
        <v>25</v>
      </c>
      <c r="H364" t="s">
        <v>14</v>
      </c>
      <c r="I364" t="s">
        <v>7</v>
      </c>
      <c r="J364">
        <v>6</v>
      </c>
      <c r="K364">
        <v>235</v>
      </c>
      <c r="L364">
        <v>1410</v>
      </c>
    </row>
    <row r="365" spans="1:12" x14ac:dyDescent="0.25">
      <c r="A365" s="1">
        <v>45661</v>
      </c>
      <c r="B365">
        <v>2025</v>
      </c>
      <c r="C365" t="s">
        <v>30</v>
      </c>
      <c r="D365" t="s">
        <v>17</v>
      </c>
      <c r="E365" t="s">
        <v>16</v>
      </c>
      <c r="F365" t="s">
        <v>3</v>
      </c>
      <c r="G365" t="s">
        <v>2</v>
      </c>
      <c r="H365" t="s">
        <v>1</v>
      </c>
      <c r="I365" t="s">
        <v>7</v>
      </c>
      <c r="J365">
        <v>2</v>
      </c>
      <c r="K365">
        <v>113</v>
      </c>
      <c r="L365">
        <v>226</v>
      </c>
    </row>
    <row r="366" spans="1:12" x14ac:dyDescent="0.25">
      <c r="A366" s="1">
        <v>45662</v>
      </c>
      <c r="B366">
        <v>2025</v>
      </c>
      <c r="C366" t="s">
        <v>30</v>
      </c>
      <c r="D366" t="s">
        <v>17</v>
      </c>
      <c r="E366" t="s">
        <v>10</v>
      </c>
      <c r="F366" t="s">
        <v>19</v>
      </c>
      <c r="G366" t="s">
        <v>23</v>
      </c>
      <c r="H366" t="s">
        <v>1</v>
      </c>
      <c r="I366" t="s">
        <v>0</v>
      </c>
      <c r="J366">
        <v>1</v>
      </c>
      <c r="K366">
        <v>212</v>
      </c>
      <c r="L366">
        <v>212</v>
      </c>
    </row>
    <row r="367" spans="1:12" x14ac:dyDescent="0.25">
      <c r="A367" s="1">
        <v>45663</v>
      </c>
      <c r="B367">
        <v>2025</v>
      </c>
      <c r="C367" t="s">
        <v>30</v>
      </c>
      <c r="D367" t="s">
        <v>5</v>
      </c>
      <c r="E367" t="s">
        <v>24</v>
      </c>
      <c r="F367" t="s">
        <v>3</v>
      </c>
      <c r="G367" t="s">
        <v>2</v>
      </c>
      <c r="H367" t="s">
        <v>14</v>
      </c>
      <c r="I367" t="s">
        <v>0</v>
      </c>
      <c r="J367">
        <v>2</v>
      </c>
      <c r="K367">
        <v>219</v>
      </c>
      <c r="L367">
        <v>438</v>
      </c>
    </row>
    <row r="368" spans="1:12" x14ac:dyDescent="0.25">
      <c r="A368" s="1">
        <v>45664</v>
      </c>
      <c r="B368">
        <v>2025</v>
      </c>
      <c r="C368" t="s">
        <v>30</v>
      </c>
      <c r="D368" t="s">
        <v>5</v>
      </c>
      <c r="E368" t="s">
        <v>16</v>
      </c>
      <c r="F368" t="s">
        <v>9</v>
      </c>
      <c r="G368" t="s">
        <v>12</v>
      </c>
      <c r="H368" t="s">
        <v>14</v>
      </c>
      <c r="I368" t="s">
        <v>7</v>
      </c>
      <c r="J368">
        <v>4</v>
      </c>
      <c r="K368">
        <v>91</v>
      </c>
      <c r="L368">
        <v>364</v>
      </c>
    </row>
    <row r="369" spans="1:12" x14ac:dyDescent="0.25">
      <c r="A369" s="1">
        <v>45665</v>
      </c>
      <c r="B369">
        <v>2025</v>
      </c>
      <c r="C369" t="s">
        <v>30</v>
      </c>
      <c r="D369" t="s">
        <v>17</v>
      </c>
      <c r="E369" t="s">
        <v>10</v>
      </c>
      <c r="F369" t="s">
        <v>3</v>
      </c>
      <c r="G369" t="s">
        <v>25</v>
      </c>
      <c r="H369" t="s">
        <v>14</v>
      </c>
      <c r="I369" t="s">
        <v>13</v>
      </c>
      <c r="J369">
        <v>2</v>
      </c>
      <c r="K369">
        <v>72</v>
      </c>
      <c r="L369">
        <v>144</v>
      </c>
    </row>
    <row r="370" spans="1:12" x14ac:dyDescent="0.25">
      <c r="A370" s="1">
        <v>45666</v>
      </c>
      <c r="B370">
        <v>2025</v>
      </c>
      <c r="C370" t="s">
        <v>30</v>
      </c>
      <c r="D370" t="s">
        <v>17</v>
      </c>
      <c r="E370" t="s">
        <v>16</v>
      </c>
      <c r="F370" t="s">
        <v>9</v>
      </c>
      <c r="G370" t="s">
        <v>15</v>
      </c>
      <c r="H370" t="s">
        <v>14</v>
      </c>
      <c r="I370" t="s">
        <v>7</v>
      </c>
      <c r="J370">
        <v>6</v>
      </c>
      <c r="K370">
        <v>147</v>
      </c>
      <c r="L370">
        <v>882</v>
      </c>
    </row>
    <row r="371" spans="1:12" x14ac:dyDescent="0.25">
      <c r="A371" s="1">
        <v>45667</v>
      </c>
      <c r="B371">
        <v>2025</v>
      </c>
      <c r="C371" t="s">
        <v>30</v>
      </c>
      <c r="D371" t="s">
        <v>26</v>
      </c>
      <c r="E371" t="s">
        <v>16</v>
      </c>
      <c r="F371" t="s">
        <v>19</v>
      </c>
      <c r="G371" t="s">
        <v>23</v>
      </c>
      <c r="H371" t="s">
        <v>14</v>
      </c>
      <c r="I371" t="s">
        <v>13</v>
      </c>
      <c r="J371">
        <v>3</v>
      </c>
      <c r="K371">
        <v>127</v>
      </c>
      <c r="L371">
        <v>381</v>
      </c>
    </row>
    <row r="372" spans="1:12" x14ac:dyDescent="0.25">
      <c r="A372" s="1">
        <v>45668</v>
      </c>
      <c r="B372">
        <v>2025</v>
      </c>
      <c r="C372" t="s">
        <v>30</v>
      </c>
      <c r="D372" t="s">
        <v>26</v>
      </c>
      <c r="E372" t="s">
        <v>21</v>
      </c>
      <c r="F372" t="s">
        <v>3</v>
      </c>
      <c r="G372" t="s">
        <v>25</v>
      </c>
      <c r="H372" t="s">
        <v>14</v>
      </c>
      <c r="I372" t="s">
        <v>13</v>
      </c>
      <c r="J372">
        <v>3</v>
      </c>
      <c r="K372">
        <v>130</v>
      </c>
      <c r="L372">
        <v>390</v>
      </c>
    </row>
    <row r="373" spans="1:12" x14ac:dyDescent="0.25">
      <c r="A373" s="1">
        <v>45669</v>
      </c>
      <c r="B373">
        <v>2025</v>
      </c>
      <c r="C373" t="s">
        <v>30</v>
      </c>
      <c r="D373" t="s">
        <v>17</v>
      </c>
      <c r="E373" t="s">
        <v>4</v>
      </c>
      <c r="F373" t="s">
        <v>3</v>
      </c>
      <c r="G373" t="s">
        <v>25</v>
      </c>
      <c r="H373" t="s">
        <v>1</v>
      </c>
      <c r="I373" t="s">
        <v>7</v>
      </c>
      <c r="J373">
        <v>3</v>
      </c>
      <c r="K373">
        <v>104</v>
      </c>
      <c r="L373">
        <v>312</v>
      </c>
    </row>
    <row r="374" spans="1:12" x14ac:dyDescent="0.25">
      <c r="A374" s="1">
        <v>45670</v>
      </c>
      <c r="B374">
        <v>2025</v>
      </c>
      <c r="C374" t="s">
        <v>30</v>
      </c>
      <c r="D374" t="s">
        <v>11</v>
      </c>
      <c r="E374" t="s">
        <v>10</v>
      </c>
      <c r="F374" t="s">
        <v>3</v>
      </c>
      <c r="G374" t="s">
        <v>25</v>
      </c>
      <c r="H374" t="s">
        <v>14</v>
      </c>
      <c r="I374" t="s">
        <v>0</v>
      </c>
      <c r="J374">
        <v>1</v>
      </c>
      <c r="K374">
        <v>69</v>
      </c>
      <c r="L374">
        <v>69</v>
      </c>
    </row>
    <row r="375" spans="1:12" x14ac:dyDescent="0.25">
      <c r="A375" s="1">
        <v>45671</v>
      </c>
      <c r="B375">
        <v>2025</v>
      </c>
      <c r="C375" t="s">
        <v>30</v>
      </c>
      <c r="D375" t="s">
        <v>26</v>
      </c>
      <c r="E375" t="s">
        <v>4</v>
      </c>
      <c r="F375" t="s">
        <v>19</v>
      </c>
      <c r="G375" t="s">
        <v>18</v>
      </c>
      <c r="H375" t="s">
        <v>1</v>
      </c>
      <c r="I375" t="s">
        <v>0</v>
      </c>
      <c r="J375">
        <v>1</v>
      </c>
      <c r="K375">
        <v>234</v>
      </c>
      <c r="L375">
        <v>234</v>
      </c>
    </row>
    <row r="376" spans="1:12" x14ac:dyDescent="0.25">
      <c r="A376" s="1">
        <v>45672</v>
      </c>
      <c r="B376">
        <v>2025</v>
      </c>
      <c r="C376" t="s">
        <v>30</v>
      </c>
      <c r="D376" t="s">
        <v>5</v>
      </c>
      <c r="E376" t="s">
        <v>10</v>
      </c>
      <c r="F376" t="s">
        <v>9</v>
      </c>
      <c r="G376" t="s">
        <v>15</v>
      </c>
      <c r="H376" t="s">
        <v>14</v>
      </c>
      <c r="I376" t="s">
        <v>13</v>
      </c>
      <c r="J376">
        <v>6</v>
      </c>
      <c r="K376">
        <v>147</v>
      </c>
      <c r="L376">
        <v>882</v>
      </c>
    </row>
    <row r="377" spans="1:12" x14ac:dyDescent="0.25">
      <c r="A377" s="1">
        <v>45673</v>
      </c>
      <c r="B377">
        <v>2025</v>
      </c>
      <c r="C377" t="s">
        <v>30</v>
      </c>
      <c r="D377" t="s">
        <v>22</v>
      </c>
      <c r="E377" t="s">
        <v>10</v>
      </c>
      <c r="F377" t="s">
        <v>9</v>
      </c>
      <c r="G377" t="s">
        <v>29</v>
      </c>
      <c r="H377" t="s">
        <v>14</v>
      </c>
      <c r="I377" t="s">
        <v>13</v>
      </c>
      <c r="J377">
        <v>2</v>
      </c>
      <c r="K377">
        <v>180</v>
      </c>
      <c r="L377">
        <v>360</v>
      </c>
    </row>
    <row r="378" spans="1:12" x14ac:dyDescent="0.25">
      <c r="A378" s="1">
        <v>45674</v>
      </c>
      <c r="B378">
        <v>2025</v>
      </c>
      <c r="C378" t="s">
        <v>30</v>
      </c>
      <c r="D378" t="s">
        <v>5</v>
      </c>
      <c r="E378" t="s">
        <v>24</v>
      </c>
      <c r="F378" t="s">
        <v>3</v>
      </c>
      <c r="G378" t="s">
        <v>27</v>
      </c>
      <c r="H378" t="s">
        <v>1</v>
      </c>
      <c r="I378" t="s">
        <v>13</v>
      </c>
      <c r="J378">
        <v>2</v>
      </c>
      <c r="K378">
        <v>215</v>
      </c>
      <c r="L378">
        <v>430</v>
      </c>
    </row>
    <row r="379" spans="1:12" x14ac:dyDescent="0.25">
      <c r="A379" s="1">
        <v>45675</v>
      </c>
      <c r="B379">
        <v>2025</v>
      </c>
      <c r="C379" t="s">
        <v>30</v>
      </c>
      <c r="D379" t="s">
        <v>11</v>
      </c>
      <c r="E379" t="s">
        <v>21</v>
      </c>
      <c r="F379" t="s">
        <v>19</v>
      </c>
      <c r="G379" t="s">
        <v>28</v>
      </c>
      <c r="H379" t="s">
        <v>14</v>
      </c>
      <c r="I379" t="s">
        <v>13</v>
      </c>
      <c r="J379">
        <v>6</v>
      </c>
      <c r="K379">
        <v>224</v>
      </c>
      <c r="L379">
        <v>1344</v>
      </c>
    </row>
    <row r="380" spans="1:12" x14ac:dyDescent="0.25">
      <c r="A380" s="1">
        <v>45676</v>
      </c>
      <c r="B380">
        <v>2025</v>
      </c>
      <c r="C380" t="s">
        <v>30</v>
      </c>
      <c r="D380" t="s">
        <v>17</v>
      </c>
      <c r="E380" t="s">
        <v>21</v>
      </c>
      <c r="F380" t="s">
        <v>3</v>
      </c>
      <c r="G380" t="s">
        <v>27</v>
      </c>
      <c r="H380" t="s">
        <v>1</v>
      </c>
      <c r="I380" t="s">
        <v>7</v>
      </c>
      <c r="J380">
        <v>5</v>
      </c>
      <c r="K380">
        <v>218</v>
      </c>
      <c r="L380">
        <v>1090</v>
      </c>
    </row>
    <row r="381" spans="1:12" x14ac:dyDescent="0.25">
      <c r="A381" s="1">
        <v>45677</v>
      </c>
      <c r="B381">
        <v>2025</v>
      </c>
      <c r="C381" t="s">
        <v>30</v>
      </c>
      <c r="D381" t="s">
        <v>22</v>
      </c>
      <c r="E381" t="s">
        <v>21</v>
      </c>
      <c r="F381" t="s">
        <v>19</v>
      </c>
      <c r="G381" t="s">
        <v>23</v>
      </c>
      <c r="H381" t="s">
        <v>14</v>
      </c>
      <c r="I381" t="s">
        <v>7</v>
      </c>
      <c r="J381">
        <v>1</v>
      </c>
      <c r="K381">
        <v>104</v>
      </c>
      <c r="L381">
        <v>104</v>
      </c>
    </row>
    <row r="382" spans="1:12" x14ac:dyDescent="0.25">
      <c r="A382" s="1">
        <v>45678</v>
      </c>
      <c r="B382">
        <v>2025</v>
      </c>
      <c r="C382" t="s">
        <v>30</v>
      </c>
      <c r="D382" t="s">
        <v>5</v>
      </c>
      <c r="E382" t="s">
        <v>16</v>
      </c>
      <c r="F382" t="s">
        <v>9</v>
      </c>
      <c r="G382" t="s">
        <v>12</v>
      </c>
      <c r="H382" t="s">
        <v>1</v>
      </c>
      <c r="I382" t="s">
        <v>7</v>
      </c>
      <c r="J382">
        <v>6</v>
      </c>
      <c r="K382">
        <v>176</v>
      </c>
      <c r="L382">
        <v>1056</v>
      </c>
    </row>
    <row r="383" spans="1:12" x14ac:dyDescent="0.25">
      <c r="A383" s="1">
        <v>45679</v>
      </c>
      <c r="B383">
        <v>2025</v>
      </c>
      <c r="C383" t="s">
        <v>30</v>
      </c>
      <c r="D383" t="s">
        <v>5</v>
      </c>
      <c r="E383" t="s">
        <v>16</v>
      </c>
      <c r="F383" t="s">
        <v>19</v>
      </c>
      <c r="G383" t="s">
        <v>28</v>
      </c>
      <c r="H383" t="s">
        <v>1</v>
      </c>
      <c r="I383" t="s">
        <v>0</v>
      </c>
      <c r="J383">
        <v>5</v>
      </c>
      <c r="K383">
        <v>213</v>
      </c>
      <c r="L383">
        <v>1065</v>
      </c>
    </row>
    <row r="384" spans="1:12" x14ac:dyDescent="0.25">
      <c r="A384" s="1">
        <v>45680</v>
      </c>
      <c r="B384">
        <v>2025</v>
      </c>
      <c r="C384" t="s">
        <v>30</v>
      </c>
      <c r="D384" t="s">
        <v>17</v>
      </c>
      <c r="E384" t="s">
        <v>21</v>
      </c>
      <c r="F384" t="s">
        <v>19</v>
      </c>
      <c r="G384" t="s">
        <v>28</v>
      </c>
      <c r="H384" t="s">
        <v>14</v>
      </c>
      <c r="I384" t="s">
        <v>7</v>
      </c>
      <c r="J384">
        <v>4</v>
      </c>
      <c r="K384">
        <v>156</v>
      </c>
      <c r="L384">
        <v>624</v>
      </c>
    </row>
    <row r="385" spans="1:12" x14ac:dyDescent="0.25">
      <c r="A385" s="1">
        <v>45681</v>
      </c>
      <c r="B385">
        <v>2025</v>
      </c>
      <c r="C385" t="s">
        <v>30</v>
      </c>
      <c r="D385" t="s">
        <v>22</v>
      </c>
      <c r="E385" t="s">
        <v>24</v>
      </c>
      <c r="F385" t="s">
        <v>19</v>
      </c>
      <c r="G385" t="s">
        <v>23</v>
      </c>
      <c r="H385" t="s">
        <v>14</v>
      </c>
      <c r="I385" t="s">
        <v>0</v>
      </c>
      <c r="J385">
        <v>1</v>
      </c>
      <c r="K385">
        <v>230</v>
      </c>
      <c r="L385">
        <v>230</v>
      </c>
    </row>
    <row r="386" spans="1:12" x14ac:dyDescent="0.25">
      <c r="A386" s="1">
        <v>45682</v>
      </c>
      <c r="B386">
        <v>2025</v>
      </c>
      <c r="C386" t="s">
        <v>30</v>
      </c>
      <c r="D386" t="s">
        <v>11</v>
      </c>
      <c r="E386" t="s">
        <v>24</v>
      </c>
      <c r="F386" t="s">
        <v>9</v>
      </c>
      <c r="G386" t="s">
        <v>12</v>
      </c>
      <c r="H386" t="s">
        <v>14</v>
      </c>
      <c r="I386" t="s">
        <v>7</v>
      </c>
      <c r="J386">
        <v>1</v>
      </c>
      <c r="K386">
        <v>162</v>
      </c>
      <c r="L386">
        <v>162</v>
      </c>
    </row>
    <row r="387" spans="1:12" x14ac:dyDescent="0.25">
      <c r="A387" s="1">
        <v>45683</v>
      </c>
      <c r="B387">
        <v>2025</v>
      </c>
      <c r="C387" t="s">
        <v>30</v>
      </c>
      <c r="D387" t="s">
        <v>17</v>
      </c>
      <c r="E387" t="s">
        <v>16</v>
      </c>
      <c r="F387" t="s">
        <v>9</v>
      </c>
      <c r="G387" t="s">
        <v>15</v>
      </c>
      <c r="H387" t="s">
        <v>14</v>
      </c>
      <c r="I387" t="s">
        <v>0</v>
      </c>
      <c r="J387">
        <v>1</v>
      </c>
      <c r="K387">
        <v>98</v>
      </c>
      <c r="L387">
        <v>98</v>
      </c>
    </row>
    <row r="388" spans="1:12" x14ac:dyDescent="0.25">
      <c r="A388" s="1">
        <v>45684</v>
      </c>
      <c r="B388">
        <v>2025</v>
      </c>
      <c r="C388" t="s">
        <v>30</v>
      </c>
      <c r="D388" t="s">
        <v>5</v>
      </c>
      <c r="E388" t="s">
        <v>24</v>
      </c>
      <c r="F388" t="s">
        <v>9</v>
      </c>
      <c r="G388" t="s">
        <v>8</v>
      </c>
      <c r="H388" t="s">
        <v>14</v>
      </c>
      <c r="I388" t="s">
        <v>0</v>
      </c>
      <c r="J388">
        <v>6</v>
      </c>
      <c r="K388">
        <v>186</v>
      </c>
      <c r="L388">
        <v>1116</v>
      </c>
    </row>
    <row r="389" spans="1:12" x14ac:dyDescent="0.25">
      <c r="A389" s="1">
        <v>45685</v>
      </c>
      <c r="B389">
        <v>2025</v>
      </c>
      <c r="C389" t="s">
        <v>30</v>
      </c>
      <c r="D389" t="s">
        <v>5</v>
      </c>
      <c r="E389" t="s">
        <v>24</v>
      </c>
      <c r="F389" t="s">
        <v>3</v>
      </c>
      <c r="G389" t="s">
        <v>25</v>
      </c>
      <c r="H389" t="s">
        <v>14</v>
      </c>
      <c r="I389" t="s">
        <v>7</v>
      </c>
      <c r="J389">
        <v>3</v>
      </c>
      <c r="K389">
        <v>97</v>
      </c>
      <c r="L389">
        <v>291</v>
      </c>
    </row>
    <row r="390" spans="1:12" x14ac:dyDescent="0.25">
      <c r="A390" s="1">
        <v>45686</v>
      </c>
      <c r="B390">
        <v>2025</v>
      </c>
      <c r="C390" t="s">
        <v>30</v>
      </c>
      <c r="D390" t="s">
        <v>5</v>
      </c>
      <c r="E390" t="s">
        <v>16</v>
      </c>
      <c r="F390" t="s">
        <v>9</v>
      </c>
      <c r="G390" t="s">
        <v>8</v>
      </c>
      <c r="H390" t="s">
        <v>14</v>
      </c>
      <c r="I390" t="s">
        <v>7</v>
      </c>
      <c r="J390">
        <v>4</v>
      </c>
      <c r="K390">
        <v>84</v>
      </c>
      <c r="L390">
        <v>336</v>
      </c>
    </row>
    <row r="391" spans="1:12" x14ac:dyDescent="0.25">
      <c r="A391" s="1">
        <v>45687</v>
      </c>
      <c r="B391">
        <v>2025</v>
      </c>
      <c r="C391" t="s">
        <v>30</v>
      </c>
      <c r="D391" t="s">
        <v>5</v>
      </c>
      <c r="E391" t="s">
        <v>4</v>
      </c>
      <c r="F391" t="s">
        <v>19</v>
      </c>
      <c r="G391" t="s">
        <v>23</v>
      </c>
      <c r="H391" t="s">
        <v>14</v>
      </c>
      <c r="I391" t="s">
        <v>0</v>
      </c>
      <c r="J391">
        <v>4</v>
      </c>
      <c r="K391">
        <v>75</v>
      </c>
      <c r="L391">
        <v>300</v>
      </c>
    </row>
    <row r="392" spans="1:12" x14ac:dyDescent="0.25">
      <c r="A392" s="1">
        <v>45688</v>
      </c>
      <c r="B392">
        <v>2025</v>
      </c>
      <c r="C392" t="s">
        <v>30</v>
      </c>
      <c r="D392" t="s">
        <v>17</v>
      </c>
      <c r="E392" t="s">
        <v>21</v>
      </c>
      <c r="F392" t="s">
        <v>9</v>
      </c>
      <c r="G392" t="s">
        <v>8</v>
      </c>
      <c r="H392" t="s">
        <v>14</v>
      </c>
      <c r="I392" t="s">
        <v>0</v>
      </c>
      <c r="J392">
        <v>6</v>
      </c>
      <c r="K392">
        <v>196</v>
      </c>
      <c r="L392">
        <v>1176</v>
      </c>
    </row>
    <row r="393" spans="1:12" x14ac:dyDescent="0.25">
      <c r="A393" s="1">
        <v>45689</v>
      </c>
      <c r="B393">
        <v>2025</v>
      </c>
      <c r="C393" t="s">
        <v>6</v>
      </c>
      <c r="D393" t="s">
        <v>11</v>
      </c>
      <c r="E393" t="s">
        <v>10</v>
      </c>
      <c r="F393" t="s">
        <v>19</v>
      </c>
      <c r="G393" t="s">
        <v>18</v>
      </c>
      <c r="H393" t="s">
        <v>1</v>
      </c>
      <c r="I393" t="s">
        <v>7</v>
      </c>
      <c r="J393">
        <v>1</v>
      </c>
      <c r="K393">
        <v>215</v>
      </c>
      <c r="L393">
        <v>215</v>
      </c>
    </row>
    <row r="394" spans="1:12" x14ac:dyDescent="0.25">
      <c r="A394" s="1">
        <v>45690</v>
      </c>
      <c r="B394">
        <v>2025</v>
      </c>
      <c r="C394" t="s">
        <v>6</v>
      </c>
      <c r="D394" t="s">
        <v>17</v>
      </c>
      <c r="E394" t="s">
        <v>16</v>
      </c>
      <c r="F394" t="s">
        <v>3</v>
      </c>
      <c r="G394" t="s">
        <v>27</v>
      </c>
      <c r="H394" t="s">
        <v>1</v>
      </c>
      <c r="I394" t="s">
        <v>13</v>
      </c>
      <c r="J394">
        <v>2</v>
      </c>
      <c r="K394">
        <v>181</v>
      </c>
      <c r="L394">
        <v>362</v>
      </c>
    </row>
    <row r="395" spans="1:12" x14ac:dyDescent="0.25">
      <c r="A395" s="1">
        <v>45691</v>
      </c>
      <c r="B395">
        <v>2025</v>
      </c>
      <c r="C395" t="s">
        <v>6</v>
      </c>
      <c r="D395" t="s">
        <v>22</v>
      </c>
      <c r="E395" t="s">
        <v>16</v>
      </c>
      <c r="F395" t="s">
        <v>9</v>
      </c>
      <c r="G395" t="s">
        <v>15</v>
      </c>
      <c r="H395" t="s">
        <v>14</v>
      </c>
      <c r="I395" t="s">
        <v>7</v>
      </c>
      <c r="J395">
        <v>6</v>
      </c>
      <c r="K395">
        <v>100</v>
      </c>
      <c r="L395">
        <v>600</v>
      </c>
    </row>
    <row r="396" spans="1:12" x14ac:dyDescent="0.25">
      <c r="A396" s="1">
        <v>45692</v>
      </c>
      <c r="B396">
        <v>2025</v>
      </c>
      <c r="C396" t="s">
        <v>6</v>
      </c>
      <c r="D396" t="s">
        <v>22</v>
      </c>
      <c r="E396" t="s">
        <v>16</v>
      </c>
      <c r="F396" t="s">
        <v>19</v>
      </c>
      <c r="G396" t="s">
        <v>28</v>
      </c>
      <c r="H396" t="s">
        <v>1</v>
      </c>
      <c r="I396" t="s">
        <v>13</v>
      </c>
      <c r="J396">
        <v>6</v>
      </c>
      <c r="K396">
        <v>60</v>
      </c>
      <c r="L396">
        <v>360</v>
      </c>
    </row>
    <row r="397" spans="1:12" x14ac:dyDescent="0.25">
      <c r="A397" s="1">
        <v>45693</v>
      </c>
      <c r="B397">
        <v>2025</v>
      </c>
      <c r="C397" t="s">
        <v>6</v>
      </c>
      <c r="D397" t="s">
        <v>5</v>
      </c>
      <c r="E397" t="s">
        <v>24</v>
      </c>
      <c r="F397" t="s">
        <v>19</v>
      </c>
      <c r="G397" t="s">
        <v>28</v>
      </c>
      <c r="H397" t="s">
        <v>14</v>
      </c>
      <c r="I397" t="s">
        <v>13</v>
      </c>
      <c r="J397">
        <v>6</v>
      </c>
      <c r="K397">
        <v>90</v>
      </c>
      <c r="L397">
        <v>540</v>
      </c>
    </row>
    <row r="398" spans="1:12" x14ac:dyDescent="0.25">
      <c r="A398" s="1">
        <v>45694</v>
      </c>
      <c r="B398">
        <v>2025</v>
      </c>
      <c r="C398" t="s">
        <v>6</v>
      </c>
      <c r="D398" t="s">
        <v>11</v>
      </c>
      <c r="E398" t="s">
        <v>4</v>
      </c>
      <c r="F398" t="s">
        <v>19</v>
      </c>
      <c r="G398" t="s">
        <v>28</v>
      </c>
      <c r="H398" t="s">
        <v>14</v>
      </c>
      <c r="I398" t="s">
        <v>0</v>
      </c>
      <c r="J398">
        <v>1</v>
      </c>
      <c r="K398">
        <v>159</v>
      </c>
      <c r="L398">
        <v>159</v>
      </c>
    </row>
    <row r="399" spans="1:12" x14ac:dyDescent="0.25">
      <c r="A399" s="1">
        <v>45695</v>
      </c>
      <c r="B399">
        <v>2025</v>
      </c>
      <c r="C399" t="s">
        <v>6</v>
      </c>
      <c r="D399" t="s">
        <v>22</v>
      </c>
      <c r="E399" t="s">
        <v>21</v>
      </c>
      <c r="F399" t="s">
        <v>9</v>
      </c>
      <c r="G399" t="s">
        <v>12</v>
      </c>
      <c r="H399" t="s">
        <v>1</v>
      </c>
      <c r="I399" t="s">
        <v>0</v>
      </c>
      <c r="J399">
        <v>1</v>
      </c>
      <c r="K399">
        <v>71</v>
      </c>
      <c r="L399">
        <v>71</v>
      </c>
    </row>
    <row r="400" spans="1:12" x14ac:dyDescent="0.25">
      <c r="A400" s="1">
        <v>45696</v>
      </c>
      <c r="B400">
        <v>2025</v>
      </c>
      <c r="C400" t="s">
        <v>6</v>
      </c>
      <c r="D400" t="s">
        <v>22</v>
      </c>
      <c r="E400" t="s">
        <v>10</v>
      </c>
      <c r="F400" t="s">
        <v>9</v>
      </c>
      <c r="G400" t="s">
        <v>20</v>
      </c>
      <c r="H400" t="s">
        <v>14</v>
      </c>
      <c r="I400" t="s">
        <v>7</v>
      </c>
      <c r="J400">
        <v>5</v>
      </c>
      <c r="K400">
        <v>144</v>
      </c>
      <c r="L400">
        <v>720</v>
      </c>
    </row>
    <row r="401" spans="1:12" x14ac:dyDescent="0.25">
      <c r="A401" s="1">
        <v>45697</v>
      </c>
      <c r="B401">
        <v>2025</v>
      </c>
      <c r="C401" t="s">
        <v>6</v>
      </c>
      <c r="D401" t="s">
        <v>5</v>
      </c>
      <c r="E401" t="s">
        <v>21</v>
      </c>
      <c r="F401" t="s">
        <v>19</v>
      </c>
      <c r="G401" t="s">
        <v>23</v>
      </c>
      <c r="H401" t="s">
        <v>1</v>
      </c>
      <c r="I401" t="s">
        <v>0</v>
      </c>
      <c r="J401">
        <v>6</v>
      </c>
      <c r="K401">
        <v>187</v>
      </c>
      <c r="L401">
        <v>1122</v>
      </c>
    </row>
    <row r="402" spans="1:12" x14ac:dyDescent="0.25">
      <c r="A402" s="1">
        <v>45698</v>
      </c>
      <c r="B402">
        <v>2025</v>
      </c>
      <c r="C402" t="s">
        <v>6</v>
      </c>
      <c r="D402" t="s">
        <v>17</v>
      </c>
      <c r="E402" t="s">
        <v>21</v>
      </c>
      <c r="F402" t="s">
        <v>19</v>
      </c>
      <c r="G402" t="s">
        <v>18</v>
      </c>
      <c r="H402" t="s">
        <v>14</v>
      </c>
      <c r="I402" t="s">
        <v>7</v>
      </c>
      <c r="J402">
        <v>6</v>
      </c>
      <c r="K402">
        <v>98</v>
      </c>
      <c r="L402">
        <v>588</v>
      </c>
    </row>
    <row r="403" spans="1:12" x14ac:dyDescent="0.25">
      <c r="A403" s="1">
        <v>45699</v>
      </c>
      <c r="B403">
        <v>2025</v>
      </c>
      <c r="C403" t="s">
        <v>6</v>
      </c>
      <c r="D403" t="s">
        <v>11</v>
      </c>
      <c r="E403" t="s">
        <v>21</v>
      </c>
      <c r="F403" t="s">
        <v>9</v>
      </c>
      <c r="G403" t="s">
        <v>15</v>
      </c>
      <c r="H403" t="s">
        <v>14</v>
      </c>
      <c r="I403" t="s">
        <v>13</v>
      </c>
      <c r="J403">
        <v>1</v>
      </c>
      <c r="K403">
        <v>126</v>
      </c>
      <c r="L403">
        <v>126</v>
      </c>
    </row>
    <row r="404" spans="1:12" x14ac:dyDescent="0.25">
      <c r="A404" s="1">
        <v>45700</v>
      </c>
      <c r="B404">
        <v>2025</v>
      </c>
      <c r="C404" t="s">
        <v>6</v>
      </c>
      <c r="D404" t="s">
        <v>5</v>
      </c>
      <c r="E404" t="s">
        <v>10</v>
      </c>
      <c r="F404" t="s">
        <v>19</v>
      </c>
      <c r="G404" t="s">
        <v>18</v>
      </c>
      <c r="H404" t="s">
        <v>1</v>
      </c>
      <c r="I404" t="s">
        <v>7</v>
      </c>
      <c r="J404">
        <v>2</v>
      </c>
      <c r="K404">
        <v>139</v>
      </c>
      <c r="L404">
        <v>278</v>
      </c>
    </row>
    <row r="405" spans="1:12" x14ac:dyDescent="0.25">
      <c r="A405" s="1">
        <v>45701</v>
      </c>
      <c r="B405">
        <v>2025</v>
      </c>
      <c r="C405" t="s">
        <v>6</v>
      </c>
      <c r="D405" t="s">
        <v>26</v>
      </c>
      <c r="E405" t="s">
        <v>24</v>
      </c>
      <c r="F405" t="s">
        <v>19</v>
      </c>
      <c r="G405" t="s">
        <v>23</v>
      </c>
      <c r="H405" t="s">
        <v>1</v>
      </c>
      <c r="I405" t="s">
        <v>13</v>
      </c>
      <c r="J405">
        <v>6</v>
      </c>
      <c r="K405">
        <v>160</v>
      </c>
      <c r="L405">
        <v>960</v>
      </c>
    </row>
    <row r="406" spans="1:12" x14ac:dyDescent="0.25">
      <c r="A406" s="1">
        <v>45702</v>
      </c>
      <c r="B406">
        <v>2025</v>
      </c>
      <c r="C406" t="s">
        <v>6</v>
      </c>
      <c r="D406" t="s">
        <v>22</v>
      </c>
      <c r="E406" t="s">
        <v>4</v>
      </c>
      <c r="F406" t="s">
        <v>3</v>
      </c>
      <c r="G406" t="s">
        <v>25</v>
      </c>
      <c r="H406" t="s">
        <v>14</v>
      </c>
      <c r="I406" t="s">
        <v>0</v>
      </c>
      <c r="J406">
        <v>4</v>
      </c>
      <c r="K406">
        <v>113</v>
      </c>
      <c r="L406">
        <v>452</v>
      </c>
    </row>
    <row r="407" spans="1:12" x14ac:dyDescent="0.25">
      <c r="A407" s="1">
        <v>45703</v>
      </c>
      <c r="B407">
        <v>2025</v>
      </c>
      <c r="C407" t="s">
        <v>6</v>
      </c>
      <c r="D407" t="s">
        <v>11</v>
      </c>
      <c r="E407" t="s">
        <v>10</v>
      </c>
      <c r="F407" t="s">
        <v>19</v>
      </c>
      <c r="G407" t="s">
        <v>18</v>
      </c>
      <c r="H407" t="s">
        <v>14</v>
      </c>
      <c r="I407" t="s">
        <v>0</v>
      </c>
      <c r="J407">
        <v>3</v>
      </c>
      <c r="K407">
        <v>157</v>
      </c>
      <c r="L407">
        <v>471</v>
      </c>
    </row>
    <row r="408" spans="1:12" x14ac:dyDescent="0.25">
      <c r="A408" s="1">
        <v>45704</v>
      </c>
      <c r="B408">
        <v>2025</v>
      </c>
      <c r="C408" t="s">
        <v>6</v>
      </c>
      <c r="D408" t="s">
        <v>17</v>
      </c>
      <c r="E408" t="s">
        <v>16</v>
      </c>
      <c r="F408" t="s">
        <v>3</v>
      </c>
      <c r="G408" t="s">
        <v>25</v>
      </c>
      <c r="H408" t="s">
        <v>14</v>
      </c>
      <c r="I408" t="s">
        <v>7</v>
      </c>
      <c r="J408">
        <v>6</v>
      </c>
      <c r="K408">
        <v>149</v>
      </c>
      <c r="L408">
        <v>894</v>
      </c>
    </row>
    <row r="409" spans="1:12" x14ac:dyDescent="0.25">
      <c r="A409" s="1">
        <v>45705</v>
      </c>
      <c r="B409">
        <v>2025</v>
      </c>
      <c r="C409" t="s">
        <v>6</v>
      </c>
      <c r="D409" t="s">
        <v>22</v>
      </c>
      <c r="E409" t="s">
        <v>21</v>
      </c>
      <c r="F409" t="s">
        <v>9</v>
      </c>
      <c r="G409" t="s">
        <v>8</v>
      </c>
      <c r="H409" t="s">
        <v>1</v>
      </c>
      <c r="I409" t="s">
        <v>7</v>
      </c>
      <c r="J409">
        <v>6</v>
      </c>
      <c r="K409">
        <v>197</v>
      </c>
      <c r="L409">
        <v>1182</v>
      </c>
    </row>
    <row r="410" spans="1:12" x14ac:dyDescent="0.25">
      <c r="A410" s="1">
        <v>45706</v>
      </c>
      <c r="B410">
        <v>2025</v>
      </c>
      <c r="C410" t="s">
        <v>6</v>
      </c>
      <c r="D410" t="s">
        <v>26</v>
      </c>
      <c r="E410" t="s">
        <v>4</v>
      </c>
      <c r="F410" t="s">
        <v>3</v>
      </c>
      <c r="G410" t="s">
        <v>2</v>
      </c>
      <c r="H410" t="s">
        <v>14</v>
      </c>
      <c r="I410" t="s">
        <v>0</v>
      </c>
      <c r="J410">
        <v>5</v>
      </c>
      <c r="K410">
        <v>67</v>
      </c>
      <c r="L410">
        <v>335</v>
      </c>
    </row>
    <row r="411" spans="1:12" x14ac:dyDescent="0.25">
      <c r="A411" s="1">
        <v>45707</v>
      </c>
      <c r="B411">
        <v>2025</v>
      </c>
      <c r="C411" t="s">
        <v>6</v>
      </c>
      <c r="D411" t="s">
        <v>5</v>
      </c>
      <c r="E411" t="s">
        <v>16</v>
      </c>
      <c r="F411" t="s">
        <v>19</v>
      </c>
      <c r="G411" t="s">
        <v>18</v>
      </c>
      <c r="H411" t="s">
        <v>1</v>
      </c>
      <c r="I411" t="s">
        <v>7</v>
      </c>
      <c r="J411">
        <v>1</v>
      </c>
      <c r="K411">
        <v>199</v>
      </c>
      <c r="L411">
        <v>199</v>
      </c>
    </row>
    <row r="412" spans="1:12" x14ac:dyDescent="0.25">
      <c r="A412" s="1">
        <v>45708</v>
      </c>
      <c r="B412">
        <v>2025</v>
      </c>
      <c r="C412" t="s">
        <v>6</v>
      </c>
      <c r="D412" t="s">
        <v>17</v>
      </c>
      <c r="E412" t="s">
        <v>16</v>
      </c>
      <c r="F412" t="s">
        <v>3</v>
      </c>
      <c r="G412" t="s">
        <v>2</v>
      </c>
      <c r="H412" t="s">
        <v>14</v>
      </c>
      <c r="I412" t="s">
        <v>13</v>
      </c>
      <c r="J412">
        <v>3</v>
      </c>
      <c r="K412">
        <v>74</v>
      </c>
      <c r="L412">
        <v>222</v>
      </c>
    </row>
    <row r="413" spans="1:12" x14ac:dyDescent="0.25">
      <c r="A413" s="1">
        <v>45709</v>
      </c>
      <c r="B413">
        <v>2025</v>
      </c>
      <c r="C413" t="s">
        <v>6</v>
      </c>
      <c r="D413" t="s">
        <v>5</v>
      </c>
      <c r="E413" t="s">
        <v>24</v>
      </c>
      <c r="F413" t="s">
        <v>19</v>
      </c>
      <c r="G413" t="s">
        <v>23</v>
      </c>
      <c r="H413" t="s">
        <v>14</v>
      </c>
      <c r="I413" t="s">
        <v>7</v>
      </c>
      <c r="J413">
        <v>5</v>
      </c>
      <c r="K413">
        <v>177</v>
      </c>
      <c r="L413">
        <v>885</v>
      </c>
    </row>
    <row r="414" spans="1:12" x14ac:dyDescent="0.25">
      <c r="A414" s="1">
        <v>45710</v>
      </c>
      <c r="B414">
        <v>2025</v>
      </c>
      <c r="C414" t="s">
        <v>6</v>
      </c>
      <c r="D414" t="s">
        <v>22</v>
      </c>
      <c r="E414" t="s">
        <v>21</v>
      </c>
      <c r="F414" t="s">
        <v>9</v>
      </c>
      <c r="G414" t="s">
        <v>20</v>
      </c>
      <c r="H414" t="s">
        <v>14</v>
      </c>
      <c r="I414" t="s">
        <v>0</v>
      </c>
      <c r="J414">
        <v>5</v>
      </c>
      <c r="K414">
        <v>172</v>
      </c>
      <c r="L414">
        <v>860</v>
      </c>
    </row>
    <row r="415" spans="1:12" x14ac:dyDescent="0.25">
      <c r="A415" s="1">
        <v>45711</v>
      </c>
      <c r="B415">
        <v>2025</v>
      </c>
      <c r="C415" t="s">
        <v>6</v>
      </c>
      <c r="D415" t="s">
        <v>11</v>
      </c>
      <c r="E415" t="s">
        <v>4</v>
      </c>
      <c r="F415" t="s">
        <v>9</v>
      </c>
      <c r="G415" t="s">
        <v>12</v>
      </c>
      <c r="H415" t="s">
        <v>1</v>
      </c>
      <c r="I415" t="s">
        <v>0</v>
      </c>
      <c r="J415">
        <v>6</v>
      </c>
      <c r="K415">
        <v>199</v>
      </c>
      <c r="L415">
        <v>1194</v>
      </c>
    </row>
    <row r="416" spans="1:12" x14ac:dyDescent="0.25">
      <c r="A416" s="1">
        <v>45712</v>
      </c>
      <c r="B416">
        <v>2025</v>
      </c>
      <c r="C416" t="s">
        <v>6</v>
      </c>
      <c r="D416" t="s">
        <v>26</v>
      </c>
      <c r="E416" t="s">
        <v>16</v>
      </c>
      <c r="F416" t="s">
        <v>9</v>
      </c>
      <c r="G416" t="s">
        <v>15</v>
      </c>
      <c r="H416" t="s">
        <v>14</v>
      </c>
      <c r="I416" t="s">
        <v>0</v>
      </c>
      <c r="J416">
        <v>1</v>
      </c>
      <c r="K416">
        <v>93</v>
      </c>
      <c r="L416">
        <v>93</v>
      </c>
    </row>
    <row r="417" spans="1:12" x14ac:dyDescent="0.25">
      <c r="A417" s="1">
        <v>45713</v>
      </c>
      <c r="B417">
        <v>2025</v>
      </c>
      <c r="C417" t="s">
        <v>6</v>
      </c>
      <c r="D417" t="s">
        <v>11</v>
      </c>
      <c r="E417" t="s">
        <v>24</v>
      </c>
      <c r="F417" t="s">
        <v>3</v>
      </c>
      <c r="G417" t="s">
        <v>25</v>
      </c>
      <c r="H417" t="s">
        <v>14</v>
      </c>
      <c r="I417" t="s">
        <v>7</v>
      </c>
      <c r="J417">
        <v>6</v>
      </c>
      <c r="K417">
        <v>234</v>
      </c>
      <c r="L417">
        <v>1404</v>
      </c>
    </row>
    <row r="418" spans="1:12" x14ac:dyDescent="0.25">
      <c r="A418" s="1">
        <v>45714</v>
      </c>
      <c r="B418">
        <v>2025</v>
      </c>
      <c r="C418" t="s">
        <v>6</v>
      </c>
      <c r="D418" t="s">
        <v>22</v>
      </c>
      <c r="E418" t="s">
        <v>10</v>
      </c>
      <c r="F418" t="s">
        <v>9</v>
      </c>
      <c r="G418" t="s">
        <v>29</v>
      </c>
      <c r="H418" t="s">
        <v>1</v>
      </c>
      <c r="I418" t="s">
        <v>7</v>
      </c>
      <c r="J418">
        <v>2</v>
      </c>
      <c r="K418">
        <v>230</v>
      </c>
      <c r="L418">
        <v>460</v>
      </c>
    </row>
    <row r="419" spans="1:12" x14ac:dyDescent="0.25">
      <c r="A419" s="1">
        <v>45715</v>
      </c>
      <c r="B419">
        <v>2025</v>
      </c>
      <c r="C419" t="s">
        <v>6</v>
      </c>
      <c r="D419" t="s">
        <v>5</v>
      </c>
      <c r="E419" t="s">
        <v>24</v>
      </c>
      <c r="F419" t="s">
        <v>3</v>
      </c>
      <c r="G419" t="s">
        <v>27</v>
      </c>
      <c r="H419" t="s">
        <v>14</v>
      </c>
      <c r="I419" t="s">
        <v>7</v>
      </c>
      <c r="J419">
        <v>3</v>
      </c>
      <c r="K419">
        <v>211</v>
      </c>
      <c r="L419">
        <v>633</v>
      </c>
    </row>
    <row r="420" spans="1:12" x14ac:dyDescent="0.25">
      <c r="A420" s="1">
        <v>45716</v>
      </c>
      <c r="B420">
        <v>2025</v>
      </c>
      <c r="C420" t="s">
        <v>6</v>
      </c>
      <c r="D420" t="s">
        <v>5</v>
      </c>
      <c r="E420" t="s">
        <v>21</v>
      </c>
      <c r="F420" t="s">
        <v>3</v>
      </c>
      <c r="G420" t="s">
        <v>27</v>
      </c>
      <c r="H420" t="s">
        <v>1</v>
      </c>
      <c r="I420" t="s">
        <v>0</v>
      </c>
      <c r="J420">
        <v>5</v>
      </c>
      <c r="K420">
        <v>61</v>
      </c>
      <c r="L420">
        <v>305</v>
      </c>
    </row>
    <row r="421" spans="1:12" x14ac:dyDescent="0.25">
      <c r="A421" s="1">
        <v>45717</v>
      </c>
      <c r="B421">
        <v>2025</v>
      </c>
      <c r="C421" t="s">
        <v>31</v>
      </c>
      <c r="D421" t="s">
        <v>11</v>
      </c>
      <c r="E421" t="s">
        <v>10</v>
      </c>
      <c r="F421" t="s">
        <v>3</v>
      </c>
      <c r="G421" t="s">
        <v>27</v>
      </c>
      <c r="H421" t="s">
        <v>14</v>
      </c>
      <c r="I421" t="s">
        <v>7</v>
      </c>
      <c r="J421">
        <v>3</v>
      </c>
      <c r="K421">
        <v>237</v>
      </c>
      <c r="L421">
        <v>711</v>
      </c>
    </row>
    <row r="422" spans="1:12" x14ac:dyDescent="0.25">
      <c r="A422" s="1">
        <v>45718</v>
      </c>
      <c r="B422">
        <v>2025</v>
      </c>
      <c r="C422" t="s">
        <v>31</v>
      </c>
      <c r="D422" t="s">
        <v>22</v>
      </c>
      <c r="E422" t="s">
        <v>4</v>
      </c>
      <c r="F422" t="s">
        <v>19</v>
      </c>
      <c r="G422" t="s">
        <v>23</v>
      </c>
      <c r="H422" t="s">
        <v>14</v>
      </c>
      <c r="I422" t="s">
        <v>7</v>
      </c>
      <c r="J422">
        <v>2</v>
      </c>
      <c r="K422">
        <v>110</v>
      </c>
      <c r="L422">
        <v>220</v>
      </c>
    </row>
    <row r="423" spans="1:12" x14ac:dyDescent="0.25">
      <c r="A423" s="1">
        <v>45719</v>
      </c>
      <c r="B423">
        <v>2025</v>
      </c>
      <c r="C423" t="s">
        <v>31</v>
      </c>
      <c r="D423" t="s">
        <v>22</v>
      </c>
      <c r="E423" t="s">
        <v>21</v>
      </c>
      <c r="F423" t="s">
        <v>9</v>
      </c>
      <c r="G423" t="s">
        <v>12</v>
      </c>
      <c r="H423" t="s">
        <v>14</v>
      </c>
      <c r="I423" t="s">
        <v>7</v>
      </c>
      <c r="J423">
        <v>1</v>
      </c>
      <c r="K423">
        <v>115</v>
      </c>
      <c r="L423">
        <v>115</v>
      </c>
    </row>
    <row r="424" spans="1:12" x14ac:dyDescent="0.25">
      <c r="A424" s="1">
        <v>45720</v>
      </c>
      <c r="B424">
        <v>2025</v>
      </c>
      <c r="C424" t="s">
        <v>31</v>
      </c>
      <c r="D424" t="s">
        <v>17</v>
      </c>
      <c r="E424" t="s">
        <v>16</v>
      </c>
      <c r="F424" t="s">
        <v>3</v>
      </c>
      <c r="G424" t="s">
        <v>2</v>
      </c>
      <c r="H424" t="s">
        <v>14</v>
      </c>
      <c r="I424" t="s">
        <v>0</v>
      </c>
      <c r="J424">
        <v>1</v>
      </c>
      <c r="K424">
        <v>211</v>
      </c>
      <c r="L424">
        <v>211</v>
      </c>
    </row>
    <row r="425" spans="1:12" x14ac:dyDescent="0.25">
      <c r="A425" s="1">
        <v>45721</v>
      </c>
      <c r="B425">
        <v>2025</v>
      </c>
      <c r="C425" t="s">
        <v>31</v>
      </c>
      <c r="D425" t="s">
        <v>5</v>
      </c>
      <c r="E425" t="s">
        <v>24</v>
      </c>
      <c r="F425" t="s">
        <v>9</v>
      </c>
      <c r="G425" t="s">
        <v>20</v>
      </c>
      <c r="H425" t="s">
        <v>14</v>
      </c>
      <c r="I425" t="s">
        <v>7</v>
      </c>
      <c r="J425">
        <v>1</v>
      </c>
      <c r="K425">
        <v>82</v>
      </c>
      <c r="L425">
        <v>82</v>
      </c>
    </row>
    <row r="426" spans="1:12" x14ac:dyDescent="0.25">
      <c r="A426" s="1">
        <v>45722</v>
      </c>
      <c r="B426">
        <v>2025</v>
      </c>
      <c r="C426" t="s">
        <v>31</v>
      </c>
      <c r="D426" t="s">
        <v>22</v>
      </c>
      <c r="E426" t="s">
        <v>4</v>
      </c>
      <c r="F426" t="s">
        <v>19</v>
      </c>
      <c r="G426" t="s">
        <v>23</v>
      </c>
      <c r="H426" t="s">
        <v>14</v>
      </c>
      <c r="I426" t="s">
        <v>13</v>
      </c>
      <c r="J426">
        <v>2</v>
      </c>
      <c r="K426">
        <v>177</v>
      </c>
      <c r="L426">
        <v>354</v>
      </c>
    </row>
    <row r="427" spans="1:12" x14ac:dyDescent="0.25">
      <c r="A427" s="1">
        <v>45723</v>
      </c>
      <c r="B427">
        <v>2025</v>
      </c>
      <c r="C427" t="s">
        <v>31</v>
      </c>
      <c r="D427" t="s">
        <v>26</v>
      </c>
      <c r="E427" t="s">
        <v>21</v>
      </c>
      <c r="F427" t="s">
        <v>3</v>
      </c>
      <c r="G427" t="s">
        <v>27</v>
      </c>
      <c r="H427" t="s">
        <v>14</v>
      </c>
      <c r="I427" t="s">
        <v>0</v>
      </c>
      <c r="J427">
        <v>6</v>
      </c>
      <c r="K427">
        <v>208</v>
      </c>
      <c r="L427">
        <v>1248</v>
      </c>
    </row>
    <row r="428" spans="1:12" x14ac:dyDescent="0.25">
      <c r="A428" s="1">
        <v>45724</v>
      </c>
      <c r="B428">
        <v>2025</v>
      </c>
      <c r="C428" t="s">
        <v>31</v>
      </c>
      <c r="D428" t="s">
        <v>5</v>
      </c>
      <c r="E428" t="s">
        <v>21</v>
      </c>
      <c r="F428" t="s">
        <v>19</v>
      </c>
      <c r="G428" t="s">
        <v>28</v>
      </c>
      <c r="H428" t="s">
        <v>1</v>
      </c>
      <c r="I428" t="s">
        <v>7</v>
      </c>
      <c r="J428">
        <v>1</v>
      </c>
      <c r="K428">
        <v>102</v>
      </c>
      <c r="L428">
        <v>102</v>
      </c>
    </row>
    <row r="429" spans="1:12" x14ac:dyDescent="0.25">
      <c r="A429" s="1">
        <v>45725</v>
      </c>
      <c r="B429">
        <v>2025</v>
      </c>
      <c r="C429" t="s">
        <v>31</v>
      </c>
      <c r="D429" t="s">
        <v>5</v>
      </c>
      <c r="E429" t="s">
        <v>10</v>
      </c>
      <c r="F429" t="s">
        <v>9</v>
      </c>
      <c r="G429" t="s">
        <v>8</v>
      </c>
      <c r="H429" t="s">
        <v>14</v>
      </c>
      <c r="I429" t="s">
        <v>13</v>
      </c>
      <c r="J429">
        <v>1</v>
      </c>
      <c r="K429">
        <v>124</v>
      </c>
      <c r="L429">
        <v>124</v>
      </c>
    </row>
    <row r="430" spans="1:12" x14ac:dyDescent="0.25">
      <c r="A430" s="1">
        <v>45726</v>
      </c>
      <c r="B430">
        <v>2025</v>
      </c>
      <c r="C430" t="s">
        <v>31</v>
      </c>
      <c r="D430" t="s">
        <v>17</v>
      </c>
      <c r="E430" t="s">
        <v>4</v>
      </c>
      <c r="F430" t="s">
        <v>3</v>
      </c>
      <c r="G430" t="s">
        <v>25</v>
      </c>
      <c r="H430" t="s">
        <v>14</v>
      </c>
      <c r="I430" t="s">
        <v>13</v>
      </c>
      <c r="J430">
        <v>6</v>
      </c>
      <c r="K430">
        <v>172</v>
      </c>
      <c r="L430">
        <v>1032</v>
      </c>
    </row>
    <row r="431" spans="1:12" x14ac:dyDescent="0.25">
      <c r="A431" s="1">
        <v>45727</v>
      </c>
      <c r="B431">
        <v>2025</v>
      </c>
      <c r="C431" t="s">
        <v>31</v>
      </c>
      <c r="D431" t="s">
        <v>5</v>
      </c>
      <c r="E431" t="s">
        <v>16</v>
      </c>
      <c r="F431" t="s">
        <v>9</v>
      </c>
      <c r="G431" t="s">
        <v>29</v>
      </c>
      <c r="H431" t="s">
        <v>1</v>
      </c>
      <c r="I431" t="s">
        <v>13</v>
      </c>
      <c r="J431">
        <v>6</v>
      </c>
      <c r="K431">
        <v>62</v>
      </c>
      <c r="L431">
        <v>372</v>
      </c>
    </row>
    <row r="432" spans="1:12" x14ac:dyDescent="0.25">
      <c r="A432" s="1">
        <v>45728</v>
      </c>
      <c r="B432">
        <v>2025</v>
      </c>
      <c r="C432" t="s">
        <v>31</v>
      </c>
      <c r="D432" t="s">
        <v>22</v>
      </c>
      <c r="E432" t="s">
        <v>16</v>
      </c>
      <c r="F432" t="s">
        <v>9</v>
      </c>
      <c r="G432" t="s">
        <v>20</v>
      </c>
      <c r="H432" t="s">
        <v>1</v>
      </c>
      <c r="I432" t="s">
        <v>13</v>
      </c>
      <c r="J432">
        <v>1</v>
      </c>
      <c r="K432">
        <v>225</v>
      </c>
      <c r="L432">
        <v>225</v>
      </c>
    </row>
    <row r="433" spans="1:12" x14ac:dyDescent="0.25">
      <c r="A433" s="1">
        <v>45729</v>
      </c>
      <c r="B433">
        <v>2025</v>
      </c>
      <c r="C433" t="s">
        <v>31</v>
      </c>
      <c r="D433" t="s">
        <v>22</v>
      </c>
      <c r="E433" t="s">
        <v>4</v>
      </c>
      <c r="F433" t="s">
        <v>9</v>
      </c>
      <c r="G433" t="s">
        <v>29</v>
      </c>
      <c r="H433" t="s">
        <v>1</v>
      </c>
      <c r="I433" t="s">
        <v>0</v>
      </c>
      <c r="J433">
        <v>6</v>
      </c>
      <c r="K433">
        <v>68</v>
      </c>
      <c r="L433">
        <v>408</v>
      </c>
    </row>
    <row r="434" spans="1:12" x14ac:dyDescent="0.25">
      <c r="A434" s="1">
        <v>45730</v>
      </c>
      <c r="B434">
        <v>2025</v>
      </c>
      <c r="C434" t="s">
        <v>31</v>
      </c>
      <c r="D434" t="s">
        <v>26</v>
      </c>
      <c r="E434" t="s">
        <v>21</v>
      </c>
      <c r="F434" t="s">
        <v>9</v>
      </c>
      <c r="G434" t="s">
        <v>12</v>
      </c>
      <c r="H434" t="s">
        <v>14</v>
      </c>
      <c r="I434" t="s">
        <v>0</v>
      </c>
      <c r="J434">
        <v>4</v>
      </c>
      <c r="K434">
        <v>201</v>
      </c>
      <c r="L434">
        <v>804</v>
      </c>
    </row>
    <row r="435" spans="1:12" x14ac:dyDescent="0.25">
      <c r="A435" s="1">
        <v>45731</v>
      </c>
      <c r="B435">
        <v>2025</v>
      </c>
      <c r="C435" t="s">
        <v>31</v>
      </c>
      <c r="D435" t="s">
        <v>11</v>
      </c>
      <c r="E435" t="s">
        <v>10</v>
      </c>
      <c r="F435" t="s">
        <v>9</v>
      </c>
      <c r="G435" t="s">
        <v>20</v>
      </c>
      <c r="H435" t="s">
        <v>14</v>
      </c>
      <c r="I435" t="s">
        <v>13</v>
      </c>
      <c r="J435">
        <v>6</v>
      </c>
      <c r="K435">
        <v>115</v>
      </c>
      <c r="L435">
        <v>690</v>
      </c>
    </row>
    <row r="436" spans="1:12" x14ac:dyDescent="0.25">
      <c r="A436" s="1">
        <v>45732</v>
      </c>
      <c r="B436">
        <v>2025</v>
      </c>
      <c r="C436" t="s">
        <v>31</v>
      </c>
      <c r="D436" t="s">
        <v>5</v>
      </c>
      <c r="E436" t="s">
        <v>21</v>
      </c>
      <c r="F436" t="s">
        <v>3</v>
      </c>
      <c r="G436" t="s">
        <v>2</v>
      </c>
      <c r="H436" t="s">
        <v>14</v>
      </c>
      <c r="I436" t="s">
        <v>0</v>
      </c>
      <c r="J436">
        <v>5</v>
      </c>
      <c r="K436">
        <v>176</v>
      </c>
      <c r="L436">
        <v>880</v>
      </c>
    </row>
    <row r="437" spans="1:12" x14ac:dyDescent="0.25">
      <c r="A437" s="1">
        <v>45733</v>
      </c>
      <c r="B437">
        <v>2025</v>
      </c>
      <c r="C437" t="s">
        <v>31</v>
      </c>
      <c r="D437" t="s">
        <v>26</v>
      </c>
      <c r="E437" t="s">
        <v>10</v>
      </c>
      <c r="F437" t="s">
        <v>19</v>
      </c>
      <c r="G437" t="s">
        <v>18</v>
      </c>
      <c r="H437" t="s">
        <v>1</v>
      </c>
      <c r="I437" t="s">
        <v>7</v>
      </c>
      <c r="J437">
        <v>1</v>
      </c>
      <c r="K437">
        <v>149</v>
      </c>
      <c r="L437">
        <v>149</v>
      </c>
    </row>
    <row r="438" spans="1:12" x14ac:dyDescent="0.25">
      <c r="A438" s="1">
        <v>45734</v>
      </c>
      <c r="B438">
        <v>2025</v>
      </c>
      <c r="C438" t="s">
        <v>31</v>
      </c>
      <c r="D438" t="s">
        <v>5</v>
      </c>
      <c r="E438" t="s">
        <v>4</v>
      </c>
      <c r="F438" t="s">
        <v>9</v>
      </c>
      <c r="G438" t="s">
        <v>29</v>
      </c>
      <c r="H438" t="s">
        <v>1</v>
      </c>
      <c r="I438" t="s">
        <v>0</v>
      </c>
      <c r="J438">
        <v>4</v>
      </c>
      <c r="K438">
        <v>64</v>
      </c>
      <c r="L438">
        <v>256</v>
      </c>
    </row>
    <row r="439" spans="1:12" x14ac:dyDescent="0.25">
      <c r="A439" s="1">
        <v>45735</v>
      </c>
      <c r="B439">
        <v>2025</v>
      </c>
      <c r="C439" t="s">
        <v>31</v>
      </c>
      <c r="D439" t="s">
        <v>5</v>
      </c>
      <c r="E439" t="s">
        <v>21</v>
      </c>
      <c r="F439" t="s">
        <v>19</v>
      </c>
      <c r="G439" t="s">
        <v>28</v>
      </c>
      <c r="H439" t="s">
        <v>1</v>
      </c>
      <c r="I439" t="s">
        <v>0</v>
      </c>
      <c r="J439">
        <v>4</v>
      </c>
      <c r="K439">
        <v>176</v>
      </c>
      <c r="L439">
        <v>704</v>
      </c>
    </row>
    <row r="440" spans="1:12" x14ac:dyDescent="0.25">
      <c r="A440" s="1">
        <v>45736</v>
      </c>
      <c r="B440">
        <v>2025</v>
      </c>
      <c r="C440" t="s">
        <v>31</v>
      </c>
      <c r="D440" t="s">
        <v>22</v>
      </c>
      <c r="E440" t="s">
        <v>10</v>
      </c>
      <c r="F440" t="s">
        <v>3</v>
      </c>
      <c r="G440" t="s">
        <v>25</v>
      </c>
      <c r="H440" t="s">
        <v>1</v>
      </c>
      <c r="I440" t="s">
        <v>13</v>
      </c>
      <c r="J440">
        <v>2</v>
      </c>
      <c r="K440">
        <v>243</v>
      </c>
      <c r="L440">
        <v>486</v>
      </c>
    </row>
    <row r="441" spans="1:12" x14ac:dyDescent="0.25">
      <c r="A441" s="1">
        <v>45737</v>
      </c>
      <c r="B441">
        <v>2025</v>
      </c>
      <c r="C441" t="s">
        <v>31</v>
      </c>
      <c r="D441" t="s">
        <v>5</v>
      </c>
      <c r="E441" t="s">
        <v>10</v>
      </c>
      <c r="F441" t="s">
        <v>3</v>
      </c>
      <c r="G441" t="s">
        <v>27</v>
      </c>
      <c r="H441" t="s">
        <v>14</v>
      </c>
      <c r="I441" t="s">
        <v>13</v>
      </c>
      <c r="J441">
        <v>6</v>
      </c>
      <c r="K441">
        <v>86</v>
      </c>
      <c r="L441">
        <v>516</v>
      </c>
    </row>
    <row r="442" spans="1:12" x14ac:dyDescent="0.25">
      <c r="A442" s="1">
        <v>45738</v>
      </c>
      <c r="B442">
        <v>2025</v>
      </c>
      <c r="C442" t="s">
        <v>31</v>
      </c>
      <c r="D442" t="s">
        <v>22</v>
      </c>
      <c r="E442" t="s">
        <v>10</v>
      </c>
      <c r="F442" t="s">
        <v>3</v>
      </c>
      <c r="G442" t="s">
        <v>2</v>
      </c>
      <c r="H442" t="s">
        <v>14</v>
      </c>
      <c r="I442" t="s">
        <v>0</v>
      </c>
      <c r="J442">
        <v>4</v>
      </c>
      <c r="K442">
        <v>164</v>
      </c>
      <c r="L442">
        <v>656</v>
      </c>
    </row>
    <row r="443" spans="1:12" x14ac:dyDescent="0.25">
      <c r="A443" s="1">
        <v>45739</v>
      </c>
      <c r="B443">
        <v>2025</v>
      </c>
      <c r="C443" t="s">
        <v>31</v>
      </c>
      <c r="D443" t="s">
        <v>26</v>
      </c>
      <c r="E443" t="s">
        <v>24</v>
      </c>
      <c r="F443" t="s">
        <v>9</v>
      </c>
      <c r="G443" t="s">
        <v>29</v>
      </c>
      <c r="H443" t="s">
        <v>14</v>
      </c>
      <c r="I443" t="s">
        <v>7</v>
      </c>
      <c r="J443">
        <v>3</v>
      </c>
      <c r="K443">
        <v>237</v>
      </c>
      <c r="L443">
        <v>711</v>
      </c>
    </row>
    <row r="444" spans="1:12" x14ac:dyDescent="0.25">
      <c r="A444" s="1">
        <v>45740</v>
      </c>
      <c r="B444">
        <v>2025</v>
      </c>
      <c r="C444" t="s">
        <v>31</v>
      </c>
      <c r="D444" t="s">
        <v>17</v>
      </c>
      <c r="E444" t="s">
        <v>10</v>
      </c>
      <c r="F444" t="s">
        <v>3</v>
      </c>
      <c r="G444" t="s">
        <v>27</v>
      </c>
      <c r="H444" t="s">
        <v>14</v>
      </c>
      <c r="I444" t="s">
        <v>13</v>
      </c>
      <c r="J444">
        <v>2</v>
      </c>
      <c r="K444">
        <v>155</v>
      </c>
      <c r="L444">
        <v>310</v>
      </c>
    </row>
    <row r="445" spans="1:12" x14ac:dyDescent="0.25">
      <c r="A445" s="1">
        <v>45741</v>
      </c>
      <c r="B445">
        <v>2025</v>
      </c>
      <c r="C445" t="s">
        <v>31</v>
      </c>
      <c r="D445" t="s">
        <v>22</v>
      </c>
      <c r="E445" t="s">
        <v>4</v>
      </c>
      <c r="F445" t="s">
        <v>3</v>
      </c>
      <c r="G445" t="s">
        <v>2</v>
      </c>
      <c r="H445" t="s">
        <v>1</v>
      </c>
      <c r="I445" t="s">
        <v>13</v>
      </c>
      <c r="J445">
        <v>2</v>
      </c>
      <c r="K445">
        <v>227</v>
      </c>
      <c r="L445">
        <v>454</v>
      </c>
    </row>
    <row r="446" spans="1:12" x14ac:dyDescent="0.25">
      <c r="A446" s="1">
        <v>45742</v>
      </c>
      <c r="B446">
        <v>2025</v>
      </c>
      <c r="C446" t="s">
        <v>31</v>
      </c>
      <c r="D446" t="s">
        <v>17</v>
      </c>
      <c r="E446" t="s">
        <v>4</v>
      </c>
      <c r="F446" t="s">
        <v>9</v>
      </c>
      <c r="G446" t="s">
        <v>8</v>
      </c>
      <c r="H446" t="s">
        <v>1</v>
      </c>
      <c r="I446" t="s">
        <v>0</v>
      </c>
      <c r="J446">
        <v>5</v>
      </c>
      <c r="K446">
        <v>116</v>
      </c>
      <c r="L446">
        <v>580</v>
      </c>
    </row>
    <row r="447" spans="1:12" x14ac:dyDescent="0.25">
      <c r="A447" s="1">
        <v>45743</v>
      </c>
      <c r="B447">
        <v>2025</v>
      </c>
      <c r="C447" t="s">
        <v>31</v>
      </c>
      <c r="D447" t="s">
        <v>26</v>
      </c>
      <c r="E447" t="s">
        <v>4</v>
      </c>
      <c r="F447" t="s">
        <v>3</v>
      </c>
      <c r="G447" t="s">
        <v>25</v>
      </c>
      <c r="H447" t="s">
        <v>14</v>
      </c>
      <c r="I447" t="s">
        <v>13</v>
      </c>
      <c r="J447">
        <v>4</v>
      </c>
      <c r="K447">
        <v>118</v>
      </c>
      <c r="L447">
        <v>472</v>
      </c>
    </row>
    <row r="448" spans="1:12" x14ac:dyDescent="0.25">
      <c r="A448" s="1">
        <v>45744</v>
      </c>
      <c r="B448">
        <v>2025</v>
      </c>
      <c r="C448" t="s">
        <v>31</v>
      </c>
      <c r="D448" t="s">
        <v>5</v>
      </c>
      <c r="E448" t="s">
        <v>16</v>
      </c>
      <c r="F448" t="s">
        <v>3</v>
      </c>
      <c r="G448" t="s">
        <v>25</v>
      </c>
      <c r="H448" t="s">
        <v>14</v>
      </c>
      <c r="I448" t="s">
        <v>0</v>
      </c>
      <c r="J448">
        <v>6</v>
      </c>
      <c r="K448">
        <v>154</v>
      </c>
      <c r="L448">
        <v>924</v>
      </c>
    </row>
    <row r="449" spans="1:12" x14ac:dyDescent="0.25">
      <c r="A449" s="1">
        <v>45745</v>
      </c>
      <c r="B449">
        <v>2025</v>
      </c>
      <c r="C449" t="s">
        <v>31</v>
      </c>
      <c r="D449" t="s">
        <v>5</v>
      </c>
      <c r="E449" t="s">
        <v>4</v>
      </c>
      <c r="F449" t="s">
        <v>3</v>
      </c>
      <c r="G449" t="s">
        <v>25</v>
      </c>
      <c r="H449" t="s">
        <v>1</v>
      </c>
      <c r="I449" t="s">
        <v>0</v>
      </c>
      <c r="J449">
        <v>2</v>
      </c>
      <c r="K449">
        <v>214</v>
      </c>
      <c r="L449">
        <v>428</v>
      </c>
    </row>
    <row r="450" spans="1:12" x14ac:dyDescent="0.25">
      <c r="A450" s="1">
        <v>45746</v>
      </c>
      <c r="B450">
        <v>2025</v>
      </c>
      <c r="C450" t="s">
        <v>31</v>
      </c>
      <c r="D450" t="s">
        <v>11</v>
      </c>
      <c r="E450" t="s">
        <v>16</v>
      </c>
      <c r="F450" t="s">
        <v>19</v>
      </c>
      <c r="G450" t="s">
        <v>23</v>
      </c>
      <c r="H450" t="s">
        <v>1</v>
      </c>
      <c r="I450" t="s">
        <v>0</v>
      </c>
      <c r="J450">
        <v>6</v>
      </c>
      <c r="K450">
        <v>178</v>
      </c>
      <c r="L450">
        <v>1068</v>
      </c>
    </row>
    <row r="451" spans="1:12" x14ac:dyDescent="0.25">
      <c r="A451" s="1">
        <v>45747</v>
      </c>
      <c r="B451">
        <v>2025</v>
      </c>
      <c r="C451" t="s">
        <v>31</v>
      </c>
      <c r="D451" t="s">
        <v>17</v>
      </c>
      <c r="E451" t="s">
        <v>16</v>
      </c>
      <c r="F451" t="s">
        <v>19</v>
      </c>
      <c r="G451" t="s">
        <v>23</v>
      </c>
      <c r="H451" t="s">
        <v>1</v>
      </c>
      <c r="I451" t="s">
        <v>13</v>
      </c>
      <c r="J451">
        <v>3</v>
      </c>
      <c r="K451">
        <v>243</v>
      </c>
      <c r="L451">
        <v>729</v>
      </c>
    </row>
    <row r="452" spans="1:12" x14ac:dyDescent="0.25">
      <c r="A452" s="1">
        <v>45658</v>
      </c>
      <c r="B452">
        <v>2025</v>
      </c>
      <c r="C452" t="s">
        <v>30</v>
      </c>
      <c r="D452" t="s">
        <v>5</v>
      </c>
      <c r="E452" t="s">
        <v>16</v>
      </c>
      <c r="F452" t="s">
        <v>3</v>
      </c>
      <c r="G452" t="s">
        <v>25</v>
      </c>
      <c r="H452" t="s">
        <v>1</v>
      </c>
      <c r="I452" t="s">
        <v>13</v>
      </c>
      <c r="J452">
        <v>2</v>
      </c>
      <c r="K452">
        <v>87</v>
      </c>
      <c r="L452">
        <v>174</v>
      </c>
    </row>
    <row r="453" spans="1:12" x14ac:dyDescent="0.25">
      <c r="A453" s="1">
        <v>45659</v>
      </c>
      <c r="B453">
        <v>2025</v>
      </c>
      <c r="C453" t="s">
        <v>30</v>
      </c>
      <c r="D453" t="s">
        <v>17</v>
      </c>
      <c r="E453" t="s">
        <v>10</v>
      </c>
      <c r="F453" t="s">
        <v>19</v>
      </c>
      <c r="G453" t="s">
        <v>23</v>
      </c>
      <c r="H453" t="s">
        <v>1</v>
      </c>
      <c r="I453" t="s">
        <v>7</v>
      </c>
      <c r="J453">
        <v>3</v>
      </c>
      <c r="K453">
        <v>93</v>
      </c>
      <c r="L453">
        <v>279</v>
      </c>
    </row>
    <row r="454" spans="1:12" x14ac:dyDescent="0.25">
      <c r="A454" s="1">
        <v>45660</v>
      </c>
      <c r="B454">
        <v>2025</v>
      </c>
      <c r="C454" t="s">
        <v>30</v>
      </c>
      <c r="D454" t="s">
        <v>11</v>
      </c>
      <c r="E454" t="s">
        <v>21</v>
      </c>
      <c r="F454" t="s">
        <v>3</v>
      </c>
      <c r="G454" t="s">
        <v>27</v>
      </c>
      <c r="H454" t="s">
        <v>14</v>
      </c>
      <c r="I454" t="s">
        <v>13</v>
      </c>
      <c r="J454">
        <v>5</v>
      </c>
      <c r="K454">
        <v>136</v>
      </c>
      <c r="L454">
        <v>680</v>
      </c>
    </row>
    <row r="455" spans="1:12" x14ac:dyDescent="0.25">
      <c r="A455" s="1">
        <v>45661</v>
      </c>
      <c r="B455">
        <v>2025</v>
      </c>
      <c r="C455" t="s">
        <v>30</v>
      </c>
      <c r="D455" t="s">
        <v>22</v>
      </c>
      <c r="E455" t="s">
        <v>16</v>
      </c>
      <c r="F455" t="s">
        <v>19</v>
      </c>
      <c r="G455" t="s">
        <v>23</v>
      </c>
      <c r="H455" t="s">
        <v>1</v>
      </c>
      <c r="I455" t="s">
        <v>0</v>
      </c>
      <c r="J455">
        <v>4</v>
      </c>
      <c r="K455">
        <v>211</v>
      </c>
      <c r="L455">
        <v>844</v>
      </c>
    </row>
    <row r="456" spans="1:12" x14ac:dyDescent="0.25">
      <c r="A456" s="1">
        <v>45662</v>
      </c>
      <c r="B456">
        <v>2025</v>
      </c>
      <c r="C456" t="s">
        <v>30</v>
      </c>
      <c r="D456" t="s">
        <v>5</v>
      </c>
      <c r="E456" t="s">
        <v>10</v>
      </c>
      <c r="F456" t="s">
        <v>9</v>
      </c>
      <c r="G456" t="s">
        <v>8</v>
      </c>
      <c r="H456" t="s">
        <v>1</v>
      </c>
      <c r="I456" t="s">
        <v>0</v>
      </c>
      <c r="J456">
        <v>6</v>
      </c>
      <c r="K456">
        <v>186</v>
      </c>
      <c r="L456">
        <v>1116</v>
      </c>
    </row>
    <row r="457" spans="1:12" x14ac:dyDescent="0.25">
      <c r="A457" s="1">
        <v>45663</v>
      </c>
      <c r="B457">
        <v>2025</v>
      </c>
      <c r="C457" t="s">
        <v>30</v>
      </c>
      <c r="D457" t="s">
        <v>26</v>
      </c>
      <c r="E457" t="s">
        <v>24</v>
      </c>
      <c r="F457" t="s">
        <v>19</v>
      </c>
      <c r="G457" t="s">
        <v>18</v>
      </c>
      <c r="H457" t="s">
        <v>14</v>
      </c>
      <c r="I457" t="s">
        <v>0</v>
      </c>
      <c r="J457">
        <v>5</v>
      </c>
      <c r="K457">
        <v>199</v>
      </c>
      <c r="L457">
        <v>995</v>
      </c>
    </row>
    <row r="458" spans="1:12" x14ac:dyDescent="0.25">
      <c r="A458" s="1">
        <v>45664</v>
      </c>
      <c r="B458">
        <v>2025</v>
      </c>
      <c r="C458" t="s">
        <v>30</v>
      </c>
      <c r="D458" t="s">
        <v>17</v>
      </c>
      <c r="E458" t="s">
        <v>10</v>
      </c>
      <c r="F458" t="s">
        <v>9</v>
      </c>
      <c r="G458" t="s">
        <v>15</v>
      </c>
      <c r="H458" t="s">
        <v>1</v>
      </c>
      <c r="I458" t="s">
        <v>7</v>
      </c>
      <c r="J458">
        <v>3</v>
      </c>
      <c r="K458">
        <v>70</v>
      </c>
      <c r="L458">
        <v>210</v>
      </c>
    </row>
    <row r="459" spans="1:12" x14ac:dyDescent="0.25">
      <c r="A459" s="1">
        <v>45665</v>
      </c>
      <c r="B459">
        <v>2025</v>
      </c>
      <c r="C459" t="s">
        <v>30</v>
      </c>
      <c r="D459" t="s">
        <v>11</v>
      </c>
      <c r="E459" t="s">
        <v>16</v>
      </c>
      <c r="F459" t="s">
        <v>19</v>
      </c>
      <c r="G459" t="s">
        <v>23</v>
      </c>
      <c r="H459" t="s">
        <v>1</v>
      </c>
      <c r="I459" t="s">
        <v>13</v>
      </c>
      <c r="J459">
        <v>3</v>
      </c>
      <c r="K459">
        <v>122</v>
      </c>
      <c r="L459">
        <v>366</v>
      </c>
    </row>
    <row r="460" spans="1:12" x14ac:dyDescent="0.25">
      <c r="A460" s="1">
        <v>45666</v>
      </c>
      <c r="B460">
        <v>2025</v>
      </c>
      <c r="C460" t="s">
        <v>30</v>
      </c>
      <c r="D460" t="s">
        <v>26</v>
      </c>
      <c r="E460" t="s">
        <v>10</v>
      </c>
      <c r="F460" t="s">
        <v>3</v>
      </c>
      <c r="G460" t="s">
        <v>2</v>
      </c>
      <c r="H460" t="s">
        <v>1</v>
      </c>
      <c r="I460" t="s">
        <v>7</v>
      </c>
      <c r="J460">
        <v>3</v>
      </c>
      <c r="K460">
        <v>195</v>
      </c>
      <c r="L460">
        <v>585</v>
      </c>
    </row>
    <row r="461" spans="1:12" x14ac:dyDescent="0.25">
      <c r="A461" s="1">
        <v>45667</v>
      </c>
      <c r="B461">
        <v>2025</v>
      </c>
      <c r="C461" t="s">
        <v>30</v>
      </c>
      <c r="D461" t="s">
        <v>17</v>
      </c>
      <c r="E461" t="s">
        <v>10</v>
      </c>
      <c r="F461" t="s">
        <v>3</v>
      </c>
      <c r="G461" t="s">
        <v>25</v>
      </c>
      <c r="H461" t="s">
        <v>1</v>
      </c>
      <c r="I461" t="s">
        <v>7</v>
      </c>
      <c r="J461">
        <v>4</v>
      </c>
      <c r="K461">
        <v>79</v>
      </c>
      <c r="L461">
        <v>316</v>
      </c>
    </row>
    <row r="462" spans="1:12" x14ac:dyDescent="0.25">
      <c r="A462" s="1">
        <v>45668</v>
      </c>
      <c r="B462">
        <v>2025</v>
      </c>
      <c r="C462" t="s">
        <v>30</v>
      </c>
      <c r="D462" t="s">
        <v>11</v>
      </c>
      <c r="E462" t="s">
        <v>16</v>
      </c>
      <c r="F462" t="s">
        <v>3</v>
      </c>
      <c r="G462" t="s">
        <v>2</v>
      </c>
      <c r="H462" t="s">
        <v>1</v>
      </c>
      <c r="I462" t="s">
        <v>0</v>
      </c>
      <c r="J462">
        <v>3</v>
      </c>
      <c r="K462">
        <v>99</v>
      </c>
      <c r="L462">
        <v>297</v>
      </c>
    </row>
    <row r="463" spans="1:12" x14ac:dyDescent="0.25">
      <c r="A463" s="1">
        <v>45669</v>
      </c>
      <c r="B463">
        <v>2025</v>
      </c>
      <c r="C463" t="s">
        <v>30</v>
      </c>
      <c r="D463" t="s">
        <v>17</v>
      </c>
      <c r="E463" t="s">
        <v>24</v>
      </c>
      <c r="F463" t="s">
        <v>3</v>
      </c>
      <c r="G463" t="s">
        <v>27</v>
      </c>
      <c r="H463" t="s">
        <v>14</v>
      </c>
      <c r="I463" t="s">
        <v>7</v>
      </c>
      <c r="J463">
        <v>3</v>
      </c>
      <c r="K463">
        <v>221</v>
      </c>
      <c r="L463">
        <v>663</v>
      </c>
    </row>
    <row r="464" spans="1:12" x14ac:dyDescent="0.25">
      <c r="A464" s="1">
        <v>45670</v>
      </c>
      <c r="B464">
        <v>2025</v>
      </c>
      <c r="C464" t="s">
        <v>30</v>
      </c>
      <c r="D464" t="s">
        <v>5</v>
      </c>
      <c r="E464" t="s">
        <v>4</v>
      </c>
      <c r="F464" t="s">
        <v>19</v>
      </c>
      <c r="G464" t="s">
        <v>28</v>
      </c>
      <c r="H464" t="s">
        <v>1</v>
      </c>
      <c r="I464" t="s">
        <v>0</v>
      </c>
      <c r="J464">
        <v>5</v>
      </c>
      <c r="K464">
        <v>101</v>
      </c>
      <c r="L464">
        <v>505</v>
      </c>
    </row>
    <row r="465" spans="1:12" x14ac:dyDescent="0.25">
      <c r="A465" s="1">
        <v>45671</v>
      </c>
      <c r="B465">
        <v>2025</v>
      </c>
      <c r="C465" t="s">
        <v>30</v>
      </c>
      <c r="D465" t="s">
        <v>17</v>
      </c>
      <c r="E465" t="s">
        <v>16</v>
      </c>
      <c r="F465" t="s">
        <v>19</v>
      </c>
      <c r="G465" t="s">
        <v>23</v>
      </c>
      <c r="H465" t="s">
        <v>1</v>
      </c>
      <c r="I465" t="s">
        <v>7</v>
      </c>
      <c r="J465">
        <v>3</v>
      </c>
      <c r="K465">
        <v>215</v>
      </c>
      <c r="L465">
        <v>645</v>
      </c>
    </row>
    <row r="466" spans="1:12" x14ac:dyDescent="0.25">
      <c r="A466" s="1">
        <v>45672</v>
      </c>
      <c r="B466">
        <v>2025</v>
      </c>
      <c r="C466" t="s">
        <v>30</v>
      </c>
      <c r="D466" t="s">
        <v>5</v>
      </c>
      <c r="E466" t="s">
        <v>21</v>
      </c>
      <c r="F466" t="s">
        <v>3</v>
      </c>
      <c r="G466" t="s">
        <v>27</v>
      </c>
      <c r="H466" t="s">
        <v>14</v>
      </c>
      <c r="I466" t="s">
        <v>13</v>
      </c>
      <c r="J466">
        <v>3</v>
      </c>
      <c r="K466">
        <v>151</v>
      </c>
      <c r="L466">
        <v>453</v>
      </c>
    </row>
    <row r="467" spans="1:12" x14ac:dyDescent="0.25">
      <c r="A467" s="1">
        <v>45673</v>
      </c>
      <c r="B467">
        <v>2025</v>
      </c>
      <c r="C467" t="s">
        <v>30</v>
      </c>
      <c r="D467" t="s">
        <v>17</v>
      </c>
      <c r="E467" t="s">
        <v>16</v>
      </c>
      <c r="F467" t="s">
        <v>9</v>
      </c>
      <c r="G467" t="s">
        <v>15</v>
      </c>
      <c r="H467" t="s">
        <v>14</v>
      </c>
      <c r="I467" t="s">
        <v>0</v>
      </c>
      <c r="J467">
        <v>6</v>
      </c>
      <c r="K467">
        <v>111</v>
      </c>
      <c r="L467">
        <v>666</v>
      </c>
    </row>
    <row r="468" spans="1:12" x14ac:dyDescent="0.25">
      <c r="A468" s="1">
        <v>45674</v>
      </c>
      <c r="B468">
        <v>2025</v>
      </c>
      <c r="C468" t="s">
        <v>30</v>
      </c>
      <c r="D468" t="s">
        <v>11</v>
      </c>
      <c r="E468" t="s">
        <v>21</v>
      </c>
      <c r="F468" t="s">
        <v>3</v>
      </c>
      <c r="G468" t="s">
        <v>2</v>
      </c>
      <c r="H468" t="s">
        <v>1</v>
      </c>
      <c r="I468" t="s">
        <v>7</v>
      </c>
      <c r="J468">
        <v>1</v>
      </c>
      <c r="K468">
        <v>112</v>
      </c>
      <c r="L468">
        <v>112</v>
      </c>
    </row>
    <row r="469" spans="1:12" x14ac:dyDescent="0.25">
      <c r="A469" s="1">
        <v>45675</v>
      </c>
      <c r="B469">
        <v>2025</v>
      </c>
      <c r="C469" t="s">
        <v>30</v>
      </c>
      <c r="D469" t="s">
        <v>17</v>
      </c>
      <c r="E469" t="s">
        <v>16</v>
      </c>
      <c r="F469" t="s">
        <v>9</v>
      </c>
      <c r="G469" t="s">
        <v>29</v>
      </c>
      <c r="H469" t="s">
        <v>1</v>
      </c>
      <c r="I469" t="s">
        <v>0</v>
      </c>
      <c r="J469">
        <v>2</v>
      </c>
      <c r="K469">
        <v>198</v>
      </c>
      <c r="L469">
        <v>396</v>
      </c>
    </row>
    <row r="470" spans="1:12" x14ac:dyDescent="0.25">
      <c r="A470" s="1">
        <v>45676</v>
      </c>
      <c r="B470">
        <v>2025</v>
      </c>
      <c r="C470" t="s">
        <v>30</v>
      </c>
      <c r="D470" t="s">
        <v>5</v>
      </c>
      <c r="E470" t="s">
        <v>4</v>
      </c>
      <c r="F470" t="s">
        <v>3</v>
      </c>
      <c r="G470" t="s">
        <v>2</v>
      </c>
      <c r="H470" t="s">
        <v>14</v>
      </c>
      <c r="I470" t="s">
        <v>0</v>
      </c>
      <c r="J470">
        <v>3</v>
      </c>
      <c r="K470">
        <v>238</v>
      </c>
      <c r="L470">
        <v>714</v>
      </c>
    </row>
    <row r="471" spans="1:12" x14ac:dyDescent="0.25">
      <c r="A471" s="1">
        <v>45677</v>
      </c>
      <c r="B471">
        <v>2025</v>
      </c>
      <c r="C471" t="s">
        <v>30</v>
      </c>
      <c r="D471" t="s">
        <v>26</v>
      </c>
      <c r="E471" t="s">
        <v>21</v>
      </c>
      <c r="F471" t="s">
        <v>9</v>
      </c>
      <c r="G471" t="s">
        <v>20</v>
      </c>
      <c r="H471" t="s">
        <v>1</v>
      </c>
      <c r="I471" t="s">
        <v>0</v>
      </c>
      <c r="J471">
        <v>2</v>
      </c>
      <c r="K471">
        <v>226</v>
      </c>
      <c r="L471">
        <v>452</v>
      </c>
    </row>
    <row r="472" spans="1:12" x14ac:dyDescent="0.25">
      <c r="A472" s="1">
        <v>45678</v>
      </c>
      <c r="B472">
        <v>2025</v>
      </c>
      <c r="C472" t="s">
        <v>30</v>
      </c>
      <c r="D472" t="s">
        <v>22</v>
      </c>
      <c r="E472" t="s">
        <v>4</v>
      </c>
      <c r="F472" t="s">
        <v>19</v>
      </c>
      <c r="G472" t="s">
        <v>28</v>
      </c>
      <c r="H472" t="s">
        <v>1</v>
      </c>
      <c r="I472" t="s">
        <v>13</v>
      </c>
      <c r="J472">
        <v>4</v>
      </c>
      <c r="K472">
        <v>206</v>
      </c>
      <c r="L472">
        <v>824</v>
      </c>
    </row>
    <row r="473" spans="1:12" x14ac:dyDescent="0.25">
      <c r="A473" s="1">
        <v>45679</v>
      </c>
      <c r="B473">
        <v>2025</v>
      </c>
      <c r="C473" t="s">
        <v>30</v>
      </c>
      <c r="D473" t="s">
        <v>26</v>
      </c>
      <c r="E473" t="s">
        <v>16</v>
      </c>
      <c r="F473" t="s">
        <v>3</v>
      </c>
      <c r="G473" t="s">
        <v>25</v>
      </c>
      <c r="H473" t="s">
        <v>14</v>
      </c>
      <c r="I473" t="s">
        <v>7</v>
      </c>
      <c r="J473">
        <v>2</v>
      </c>
      <c r="K473">
        <v>85</v>
      </c>
      <c r="L473">
        <v>170</v>
      </c>
    </row>
    <row r="474" spans="1:12" x14ac:dyDescent="0.25">
      <c r="A474" s="1">
        <v>45680</v>
      </c>
      <c r="B474">
        <v>2025</v>
      </c>
      <c r="C474" t="s">
        <v>30</v>
      </c>
      <c r="D474" t="s">
        <v>17</v>
      </c>
      <c r="E474" t="s">
        <v>10</v>
      </c>
      <c r="F474" t="s">
        <v>9</v>
      </c>
      <c r="G474" t="s">
        <v>12</v>
      </c>
      <c r="H474" t="s">
        <v>14</v>
      </c>
      <c r="I474" t="s">
        <v>13</v>
      </c>
      <c r="J474">
        <v>6</v>
      </c>
      <c r="K474">
        <v>174</v>
      </c>
      <c r="L474">
        <v>1044</v>
      </c>
    </row>
    <row r="475" spans="1:12" x14ac:dyDescent="0.25">
      <c r="A475" s="1">
        <v>45681</v>
      </c>
      <c r="B475">
        <v>2025</v>
      </c>
      <c r="C475" t="s">
        <v>30</v>
      </c>
      <c r="D475" t="s">
        <v>22</v>
      </c>
      <c r="E475" t="s">
        <v>10</v>
      </c>
      <c r="F475" t="s">
        <v>19</v>
      </c>
      <c r="G475" t="s">
        <v>28</v>
      </c>
      <c r="H475" t="s">
        <v>14</v>
      </c>
      <c r="I475" t="s">
        <v>7</v>
      </c>
      <c r="J475">
        <v>1</v>
      </c>
      <c r="K475">
        <v>119</v>
      </c>
      <c r="L475">
        <v>119</v>
      </c>
    </row>
    <row r="476" spans="1:12" x14ac:dyDescent="0.25">
      <c r="A476" s="1">
        <v>45682</v>
      </c>
      <c r="B476">
        <v>2025</v>
      </c>
      <c r="C476" t="s">
        <v>30</v>
      </c>
      <c r="D476" t="s">
        <v>11</v>
      </c>
      <c r="E476" t="s">
        <v>10</v>
      </c>
      <c r="F476" t="s">
        <v>9</v>
      </c>
      <c r="G476" t="s">
        <v>29</v>
      </c>
      <c r="H476" t="s">
        <v>1</v>
      </c>
      <c r="I476" t="s">
        <v>13</v>
      </c>
      <c r="J476">
        <v>4</v>
      </c>
      <c r="K476">
        <v>165</v>
      </c>
      <c r="L476">
        <v>660</v>
      </c>
    </row>
    <row r="477" spans="1:12" x14ac:dyDescent="0.25">
      <c r="A477" s="1">
        <v>45683</v>
      </c>
      <c r="B477">
        <v>2025</v>
      </c>
      <c r="C477" t="s">
        <v>30</v>
      </c>
      <c r="D477" t="s">
        <v>5</v>
      </c>
      <c r="E477" t="s">
        <v>10</v>
      </c>
      <c r="F477" t="s">
        <v>3</v>
      </c>
      <c r="G477" t="s">
        <v>27</v>
      </c>
      <c r="H477" t="s">
        <v>1</v>
      </c>
      <c r="I477" t="s">
        <v>7</v>
      </c>
      <c r="J477">
        <v>1</v>
      </c>
      <c r="K477">
        <v>141</v>
      </c>
      <c r="L477">
        <v>141</v>
      </c>
    </row>
    <row r="478" spans="1:12" x14ac:dyDescent="0.25">
      <c r="A478" s="1">
        <v>45684</v>
      </c>
      <c r="B478">
        <v>2025</v>
      </c>
      <c r="C478" t="s">
        <v>30</v>
      </c>
      <c r="D478" t="s">
        <v>11</v>
      </c>
      <c r="E478" t="s">
        <v>21</v>
      </c>
      <c r="F478" t="s">
        <v>19</v>
      </c>
      <c r="G478" t="s">
        <v>23</v>
      </c>
      <c r="H478" t="s">
        <v>14</v>
      </c>
      <c r="I478" t="s">
        <v>13</v>
      </c>
      <c r="J478">
        <v>4</v>
      </c>
      <c r="K478">
        <v>234</v>
      </c>
      <c r="L478">
        <v>936</v>
      </c>
    </row>
    <row r="479" spans="1:12" x14ac:dyDescent="0.25">
      <c r="A479" s="1">
        <v>45685</v>
      </c>
      <c r="B479">
        <v>2025</v>
      </c>
      <c r="C479" t="s">
        <v>30</v>
      </c>
      <c r="D479" t="s">
        <v>26</v>
      </c>
      <c r="E479" t="s">
        <v>24</v>
      </c>
      <c r="F479" t="s">
        <v>3</v>
      </c>
      <c r="G479" t="s">
        <v>27</v>
      </c>
      <c r="H479" t="s">
        <v>1</v>
      </c>
      <c r="I479" t="s">
        <v>13</v>
      </c>
      <c r="J479">
        <v>2</v>
      </c>
      <c r="K479">
        <v>211</v>
      </c>
      <c r="L479">
        <v>422</v>
      </c>
    </row>
    <row r="480" spans="1:12" x14ac:dyDescent="0.25">
      <c r="A480" s="1">
        <v>45686</v>
      </c>
      <c r="B480">
        <v>2025</v>
      </c>
      <c r="C480" t="s">
        <v>30</v>
      </c>
      <c r="D480" t="s">
        <v>17</v>
      </c>
      <c r="E480" t="s">
        <v>24</v>
      </c>
      <c r="F480" t="s">
        <v>9</v>
      </c>
      <c r="G480" t="s">
        <v>20</v>
      </c>
      <c r="H480" t="s">
        <v>1</v>
      </c>
      <c r="I480" t="s">
        <v>0</v>
      </c>
      <c r="J480">
        <v>5</v>
      </c>
      <c r="K480">
        <v>214</v>
      </c>
      <c r="L480">
        <v>1070</v>
      </c>
    </row>
    <row r="481" spans="1:12" x14ac:dyDescent="0.25">
      <c r="A481" s="1">
        <v>45687</v>
      </c>
      <c r="B481">
        <v>2025</v>
      </c>
      <c r="C481" t="s">
        <v>30</v>
      </c>
      <c r="D481" t="s">
        <v>22</v>
      </c>
      <c r="E481" t="s">
        <v>21</v>
      </c>
      <c r="F481" t="s">
        <v>19</v>
      </c>
      <c r="G481" t="s">
        <v>23</v>
      </c>
      <c r="H481" t="s">
        <v>1</v>
      </c>
      <c r="I481" t="s">
        <v>13</v>
      </c>
      <c r="J481">
        <v>3</v>
      </c>
      <c r="K481">
        <v>75</v>
      </c>
      <c r="L481">
        <v>225</v>
      </c>
    </row>
    <row r="482" spans="1:12" x14ac:dyDescent="0.25">
      <c r="A482" s="1">
        <v>45688</v>
      </c>
      <c r="B482">
        <v>2025</v>
      </c>
      <c r="C482" t="s">
        <v>30</v>
      </c>
      <c r="D482" t="s">
        <v>11</v>
      </c>
      <c r="E482" t="s">
        <v>10</v>
      </c>
      <c r="F482" t="s">
        <v>19</v>
      </c>
      <c r="G482" t="s">
        <v>23</v>
      </c>
      <c r="H482" t="s">
        <v>1</v>
      </c>
      <c r="I482" t="s">
        <v>7</v>
      </c>
      <c r="J482">
        <v>6</v>
      </c>
      <c r="K482">
        <v>76</v>
      </c>
      <c r="L482">
        <v>456</v>
      </c>
    </row>
    <row r="483" spans="1:12" x14ac:dyDescent="0.25">
      <c r="A483" s="1">
        <v>45689</v>
      </c>
      <c r="B483">
        <v>2025</v>
      </c>
      <c r="C483" t="s">
        <v>6</v>
      </c>
      <c r="D483" t="s">
        <v>5</v>
      </c>
      <c r="E483" t="s">
        <v>16</v>
      </c>
      <c r="F483" t="s">
        <v>9</v>
      </c>
      <c r="G483" t="s">
        <v>29</v>
      </c>
      <c r="H483" t="s">
        <v>14</v>
      </c>
      <c r="I483" t="s">
        <v>7</v>
      </c>
      <c r="J483">
        <v>1</v>
      </c>
      <c r="K483">
        <v>239</v>
      </c>
      <c r="L483">
        <v>239</v>
      </c>
    </row>
    <row r="484" spans="1:12" x14ac:dyDescent="0.25">
      <c r="A484" s="1">
        <v>45690</v>
      </c>
      <c r="B484">
        <v>2025</v>
      </c>
      <c r="C484" t="s">
        <v>6</v>
      </c>
      <c r="D484" t="s">
        <v>5</v>
      </c>
      <c r="E484" t="s">
        <v>4</v>
      </c>
      <c r="F484" t="s">
        <v>3</v>
      </c>
      <c r="G484" t="s">
        <v>25</v>
      </c>
      <c r="H484" t="s">
        <v>14</v>
      </c>
      <c r="I484" t="s">
        <v>0</v>
      </c>
      <c r="J484">
        <v>6</v>
      </c>
      <c r="K484">
        <v>115</v>
      </c>
      <c r="L484">
        <v>690</v>
      </c>
    </row>
    <row r="485" spans="1:12" x14ac:dyDescent="0.25">
      <c r="A485" s="1">
        <v>45691</v>
      </c>
      <c r="B485">
        <v>2025</v>
      </c>
      <c r="C485" t="s">
        <v>6</v>
      </c>
      <c r="D485" t="s">
        <v>26</v>
      </c>
      <c r="E485" t="s">
        <v>21</v>
      </c>
      <c r="F485" t="s">
        <v>19</v>
      </c>
      <c r="G485" t="s">
        <v>28</v>
      </c>
      <c r="H485" t="s">
        <v>14</v>
      </c>
      <c r="I485" t="s">
        <v>13</v>
      </c>
      <c r="J485">
        <v>1</v>
      </c>
      <c r="K485">
        <v>243</v>
      </c>
      <c r="L485">
        <v>243</v>
      </c>
    </row>
    <row r="486" spans="1:12" x14ac:dyDescent="0.25">
      <c r="A486" s="1">
        <v>45692</v>
      </c>
      <c r="B486">
        <v>2025</v>
      </c>
      <c r="C486" t="s">
        <v>6</v>
      </c>
      <c r="D486" t="s">
        <v>17</v>
      </c>
      <c r="E486" t="s">
        <v>24</v>
      </c>
      <c r="F486" t="s">
        <v>3</v>
      </c>
      <c r="G486" t="s">
        <v>27</v>
      </c>
      <c r="H486" t="s">
        <v>1</v>
      </c>
      <c r="I486" t="s">
        <v>0</v>
      </c>
      <c r="J486">
        <v>2</v>
      </c>
      <c r="K486">
        <v>131</v>
      </c>
      <c r="L486">
        <v>262</v>
      </c>
    </row>
    <row r="487" spans="1:12" x14ac:dyDescent="0.25">
      <c r="A487" s="1">
        <v>45693</v>
      </c>
      <c r="B487">
        <v>2025</v>
      </c>
      <c r="C487" t="s">
        <v>6</v>
      </c>
      <c r="D487" t="s">
        <v>17</v>
      </c>
      <c r="E487" t="s">
        <v>24</v>
      </c>
      <c r="F487" t="s">
        <v>9</v>
      </c>
      <c r="G487" t="s">
        <v>8</v>
      </c>
      <c r="H487" t="s">
        <v>1</v>
      </c>
      <c r="I487" t="s">
        <v>0</v>
      </c>
      <c r="J487">
        <v>6</v>
      </c>
      <c r="K487">
        <v>77</v>
      </c>
      <c r="L487">
        <v>462</v>
      </c>
    </row>
    <row r="488" spans="1:12" x14ac:dyDescent="0.25">
      <c r="A488" s="1">
        <v>45694</v>
      </c>
      <c r="B488">
        <v>2025</v>
      </c>
      <c r="C488" t="s">
        <v>6</v>
      </c>
      <c r="D488" t="s">
        <v>22</v>
      </c>
      <c r="E488" t="s">
        <v>16</v>
      </c>
      <c r="F488" t="s">
        <v>19</v>
      </c>
      <c r="G488" t="s">
        <v>28</v>
      </c>
      <c r="H488" t="s">
        <v>14</v>
      </c>
      <c r="I488" t="s">
        <v>13</v>
      </c>
      <c r="J488">
        <v>3</v>
      </c>
      <c r="K488">
        <v>78</v>
      </c>
      <c r="L488">
        <v>234</v>
      </c>
    </row>
    <row r="489" spans="1:12" x14ac:dyDescent="0.25">
      <c r="A489" s="1">
        <v>45695</v>
      </c>
      <c r="B489">
        <v>2025</v>
      </c>
      <c r="C489" t="s">
        <v>6</v>
      </c>
      <c r="D489" t="s">
        <v>22</v>
      </c>
      <c r="E489" t="s">
        <v>4</v>
      </c>
      <c r="F489" t="s">
        <v>9</v>
      </c>
      <c r="G489" t="s">
        <v>20</v>
      </c>
      <c r="H489" t="s">
        <v>1</v>
      </c>
      <c r="I489" t="s">
        <v>7</v>
      </c>
      <c r="J489">
        <v>4</v>
      </c>
      <c r="K489">
        <v>168</v>
      </c>
      <c r="L489">
        <v>672</v>
      </c>
    </row>
    <row r="490" spans="1:12" x14ac:dyDescent="0.25">
      <c r="A490" s="1">
        <v>45696</v>
      </c>
      <c r="B490">
        <v>2025</v>
      </c>
      <c r="C490" t="s">
        <v>6</v>
      </c>
      <c r="D490" t="s">
        <v>5</v>
      </c>
      <c r="E490" t="s">
        <v>10</v>
      </c>
      <c r="F490" t="s">
        <v>19</v>
      </c>
      <c r="G490" t="s">
        <v>23</v>
      </c>
      <c r="H490" t="s">
        <v>14</v>
      </c>
      <c r="I490" t="s">
        <v>7</v>
      </c>
      <c r="J490">
        <v>5</v>
      </c>
      <c r="K490">
        <v>208</v>
      </c>
      <c r="L490">
        <v>1040</v>
      </c>
    </row>
    <row r="491" spans="1:12" x14ac:dyDescent="0.25">
      <c r="A491" s="1">
        <v>45697</v>
      </c>
      <c r="B491">
        <v>2025</v>
      </c>
      <c r="C491" t="s">
        <v>6</v>
      </c>
      <c r="D491" t="s">
        <v>22</v>
      </c>
      <c r="E491" t="s">
        <v>21</v>
      </c>
      <c r="F491" t="s">
        <v>3</v>
      </c>
      <c r="G491" t="s">
        <v>27</v>
      </c>
      <c r="H491" t="s">
        <v>14</v>
      </c>
      <c r="I491" t="s">
        <v>13</v>
      </c>
      <c r="J491">
        <v>1</v>
      </c>
      <c r="K491">
        <v>162</v>
      </c>
      <c r="L491">
        <v>162</v>
      </c>
    </row>
    <row r="492" spans="1:12" x14ac:dyDescent="0.25">
      <c r="A492" s="1">
        <v>45698</v>
      </c>
      <c r="B492">
        <v>2025</v>
      </c>
      <c r="C492" t="s">
        <v>6</v>
      </c>
      <c r="D492" t="s">
        <v>26</v>
      </c>
      <c r="E492" t="s">
        <v>4</v>
      </c>
      <c r="F492" t="s">
        <v>3</v>
      </c>
      <c r="G492" t="s">
        <v>25</v>
      </c>
      <c r="H492" t="s">
        <v>1</v>
      </c>
      <c r="I492" t="s">
        <v>13</v>
      </c>
      <c r="J492">
        <v>6</v>
      </c>
      <c r="K492">
        <v>121</v>
      </c>
      <c r="L492">
        <v>726</v>
      </c>
    </row>
    <row r="493" spans="1:12" x14ac:dyDescent="0.25">
      <c r="A493" s="1">
        <v>45699</v>
      </c>
      <c r="B493">
        <v>2025</v>
      </c>
      <c r="C493" t="s">
        <v>6</v>
      </c>
      <c r="D493" t="s">
        <v>11</v>
      </c>
      <c r="E493" t="s">
        <v>4</v>
      </c>
      <c r="F493" t="s">
        <v>19</v>
      </c>
      <c r="G493" t="s">
        <v>18</v>
      </c>
      <c r="H493" t="s">
        <v>14</v>
      </c>
      <c r="I493" t="s">
        <v>13</v>
      </c>
      <c r="J493">
        <v>2</v>
      </c>
      <c r="K493">
        <v>74</v>
      </c>
      <c r="L493">
        <v>148</v>
      </c>
    </row>
    <row r="494" spans="1:12" x14ac:dyDescent="0.25">
      <c r="A494" s="1">
        <v>45700</v>
      </c>
      <c r="B494">
        <v>2025</v>
      </c>
      <c r="C494" t="s">
        <v>6</v>
      </c>
      <c r="D494" t="s">
        <v>22</v>
      </c>
      <c r="E494" t="s">
        <v>24</v>
      </c>
      <c r="F494" t="s">
        <v>19</v>
      </c>
      <c r="G494" t="s">
        <v>23</v>
      </c>
      <c r="H494" t="s">
        <v>1</v>
      </c>
      <c r="I494" t="s">
        <v>7</v>
      </c>
      <c r="J494">
        <v>1</v>
      </c>
      <c r="K494">
        <v>186</v>
      </c>
      <c r="L494">
        <v>186</v>
      </c>
    </row>
    <row r="495" spans="1:12" x14ac:dyDescent="0.25">
      <c r="A495" s="1">
        <v>45701</v>
      </c>
      <c r="B495">
        <v>2025</v>
      </c>
      <c r="C495" t="s">
        <v>6</v>
      </c>
      <c r="D495" t="s">
        <v>22</v>
      </c>
      <c r="E495" t="s">
        <v>21</v>
      </c>
      <c r="F495" t="s">
        <v>9</v>
      </c>
      <c r="G495" t="s">
        <v>20</v>
      </c>
      <c r="H495" t="s">
        <v>1</v>
      </c>
      <c r="I495" t="s">
        <v>7</v>
      </c>
      <c r="J495">
        <v>6</v>
      </c>
      <c r="K495">
        <v>174</v>
      </c>
      <c r="L495">
        <v>1044</v>
      </c>
    </row>
    <row r="496" spans="1:12" x14ac:dyDescent="0.25">
      <c r="A496" s="1">
        <v>45702</v>
      </c>
      <c r="B496">
        <v>2025</v>
      </c>
      <c r="C496" t="s">
        <v>6</v>
      </c>
      <c r="D496" t="s">
        <v>17</v>
      </c>
      <c r="E496" t="s">
        <v>10</v>
      </c>
      <c r="F496" t="s">
        <v>19</v>
      </c>
      <c r="G496" t="s">
        <v>18</v>
      </c>
      <c r="H496" t="s">
        <v>14</v>
      </c>
      <c r="I496" t="s">
        <v>7</v>
      </c>
      <c r="J496">
        <v>1</v>
      </c>
      <c r="K496">
        <v>181</v>
      </c>
      <c r="L496">
        <v>181</v>
      </c>
    </row>
    <row r="497" spans="1:12" x14ac:dyDescent="0.25">
      <c r="A497" s="1">
        <v>45703</v>
      </c>
      <c r="B497">
        <v>2025</v>
      </c>
      <c r="C497" t="s">
        <v>6</v>
      </c>
      <c r="D497" t="s">
        <v>5</v>
      </c>
      <c r="E497" t="s">
        <v>4</v>
      </c>
      <c r="F497" t="s">
        <v>9</v>
      </c>
      <c r="G497" t="s">
        <v>8</v>
      </c>
      <c r="H497" t="s">
        <v>1</v>
      </c>
      <c r="I497" t="s">
        <v>7</v>
      </c>
      <c r="J497">
        <v>1</v>
      </c>
      <c r="K497">
        <v>122</v>
      </c>
      <c r="L497">
        <v>122</v>
      </c>
    </row>
    <row r="498" spans="1:12" x14ac:dyDescent="0.25">
      <c r="A498" s="1">
        <v>45704</v>
      </c>
      <c r="B498">
        <v>2025</v>
      </c>
      <c r="C498" t="s">
        <v>6</v>
      </c>
      <c r="D498" t="s">
        <v>17</v>
      </c>
      <c r="E498" t="s">
        <v>16</v>
      </c>
      <c r="F498" t="s">
        <v>9</v>
      </c>
      <c r="G498" t="s">
        <v>15</v>
      </c>
      <c r="H498" t="s">
        <v>14</v>
      </c>
      <c r="I498" t="s">
        <v>13</v>
      </c>
      <c r="J498">
        <v>1</v>
      </c>
      <c r="K498">
        <v>132</v>
      </c>
      <c r="L498">
        <v>132</v>
      </c>
    </row>
    <row r="499" spans="1:12" x14ac:dyDescent="0.25">
      <c r="A499" s="1">
        <v>45705</v>
      </c>
      <c r="B499">
        <v>2025</v>
      </c>
      <c r="C499" t="s">
        <v>6</v>
      </c>
      <c r="D499" t="s">
        <v>5</v>
      </c>
      <c r="E499" t="s">
        <v>10</v>
      </c>
      <c r="F499" t="s">
        <v>9</v>
      </c>
      <c r="G499" t="s">
        <v>12</v>
      </c>
      <c r="H499" t="s">
        <v>1</v>
      </c>
      <c r="I499" t="s">
        <v>0</v>
      </c>
      <c r="J499">
        <v>3</v>
      </c>
      <c r="K499">
        <v>152</v>
      </c>
      <c r="L499">
        <v>456</v>
      </c>
    </row>
    <row r="500" spans="1:12" x14ac:dyDescent="0.25">
      <c r="A500" s="1">
        <v>45706</v>
      </c>
      <c r="B500">
        <v>2025</v>
      </c>
      <c r="C500" t="s">
        <v>6</v>
      </c>
      <c r="D500" t="s">
        <v>11</v>
      </c>
      <c r="E500" t="s">
        <v>10</v>
      </c>
      <c r="F500" t="s">
        <v>9</v>
      </c>
      <c r="G500" t="s">
        <v>8</v>
      </c>
      <c r="H500" t="s">
        <v>1</v>
      </c>
      <c r="I500" t="s">
        <v>7</v>
      </c>
      <c r="J500">
        <v>6</v>
      </c>
      <c r="K500">
        <v>90</v>
      </c>
      <c r="L500">
        <v>540</v>
      </c>
    </row>
    <row r="501" spans="1:12" x14ac:dyDescent="0.25">
      <c r="A501" s="1">
        <v>45707</v>
      </c>
      <c r="B501">
        <v>2025</v>
      </c>
      <c r="C501" t="s">
        <v>6</v>
      </c>
      <c r="D501" t="s">
        <v>5</v>
      </c>
      <c r="E501" t="s">
        <v>4</v>
      </c>
      <c r="F501" t="s">
        <v>3</v>
      </c>
      <c r="G501" t="s">
        <v>2</v>
      </c>
      <c r="H501" t="s">
        <v>1</v>
      </c>
      <c r="I501" t="s">
        <v>0</v>
      </c>
      <c r="J501">
        <v>5</v>
      </c>
      <c r="K501">
        <v>164</v>
      </c>
      <c r="L501">
        <v>820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EB827-9C55-496E-B7CE-319964E656B5}">
  <dimension ref="A3:H8"/>
  <sheetViews>
    <sheetView topLeftCell="A2" workbookViewId="0">
      <selection activeCell="C4" sqref="C4"/>
    </sheetView>
  </sheetViews>
  <sheetFormatPr defaultRowHeight="15" x14ac:dyDescent="0.25"/>
  <cols>
    <col min="1" max="1" width="20.28515625" bestFit="1" customWidth="1"/>
    <col min="2" max="2" width="20.140625" bestFit="1" customWidth="1"/>
    <col min="3" max="3" width="16.7109375" bestFit="1" customWidth="1"/>
    <col min="4" max="4" width="13.42578125" bestFit="1" customWidth="1"/>
    <col min="5" max="5" width="23.5703125" bestFit="1" customWidth="1"/>
    <col min="7" max="7" width="13.42578125" bestFit="1" customWidth="1"/>
    <col min="8" max="8" width="23.5703125" bestFit="1" customWidth="1"/>
  </cols>
  <sheetData>
    <row r="3" spans="1:8" x14ac:dyDescent="0.25">
      <c r="A3" t="s">
        <v>44</v>
      </c>
      <c r="B3" t="s">
        <v>45</v>
      </c>
      <c r="C3" s="6" t="s">
        <v>50</v>
      </c>
      <c r="D3" t="s">
        <v>49</v>
      </c>
      <c r="E3" t="s">
        <v>34</v>
      </c>
    </row>
    <row r="4" spans="1:8" x14ac:dyDescent="0.25">
      <c r="A4" s="2">
        <v>270600</v>
      </c>
      <c r="B4" s="2">
        <v>1771</v>
      </c>
      <c r="C4" s="5">
        <f>GETPIVOTDATA("Sales Amount",$G$4)</f>
        <v>541.20000000000005</v>
      </c>
      <c r="D4">
        <f>GETPIVOTDATA("Sum of Sales Amount",$A$3)</f>
        <v>270600</v>
      </c>
      <c r="E4">
        <f>GETPIVOTDATA("Sum of Quantity Sold",$A$3)</f>
        <v>1771</v>
      </c>
      <c r="G4" s="3" t="s">
        <v>46</v>
      </c>
      <c r="H4" t="s">
        <v>48</v>
      </c>
    </row>
    <row r="5" spans="1:8" x14ac:dyDescent="0.25">
      <c r="G5" s="4" t="s">
        <v>30</v>
      </c>
      <c r="H5" s="5">
        <v>582.88709677419354</v>
      </c>
    </row>
    <row r="6" spans="1:8" x14ac:dyDescent="0.25">
      <c r="G6" s="4" t="s">
        <v>6</v>
      </c>
      <c r="H6" s="5">
        <v>544.35220125786168</v>
      </c>
    </row>
    <row r="7" spans="1:8" x14ac:dyDescent="0.25">
      <c r="G7" s="4" t="s">
        <v>31</v>
      </c>
      <c r="H7" s="5">
        <v>487.94193548387096</v>
      </c>
    </row>
    <row r="8" spans="1:8" x14ac:dyDescent="0.25">
      <c r="G8" s="4" t="s">
        <v>47</v>
      </c>
      <c r="H8" s="5">
        <v>541.20000000000005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AA3E4-8B73-449E-9AC0-7C7FA9249F01}">
  <dimension ref="B3:C7"/>
  <sheetViews>
    <sheetView workbookViewId="0">
      <selection activeCell="M15" sqref="M15"/>
    </sheetView>
  </sheetViews>
  <sheetFormatPr defaultRowHeight="15" x14ac:dyDescent="0.25"/>
  <cols>
    <col min="2" max="2" width="13.42578125" bestFit="1" customWidth="1"/>
    <col min="3" max="3" width="20.140625" bestFit="1" customWidth="1"/>
  </cols>
  <sheetData>
    <row r="3" spans="2:3" x14ac:dyDescent="0.25">
      <c r="B3" s="3" t="s">
        <v>46</v>
      </c>
      <c r="C3" t="s">
        <v>45</v>
      </c>
    </row>
    <row r="4" spans="2:3" x14ac:dyDescent="0.25">
      <c r="B4" s="4" t="s">
        <v>19</v>
      </c>
      <c r="C4" s="2">
        <v>568</v>
      </c>
    </row>
    <row r="5" spans="2:3" x14ac:dyDescent="0.25">
      <c r="B5" s="4" t="s">
        <v>9</v>
      </c>
      <c r="C5" s="2">
        <v>636</v>
      </c>
    </row>
    <row r="6" spans="2:3" x14ac:dyDescent="0.25">
      <c r="B6" s="4" t="s">
        <v>3</v>
      </c>
      <c r="C6" s="2">
        <v>567</v>
      </c>
    </row>
    <row r="7" spans="2:3" x14ac:dyDescent="0.25">
      <c r="B7" s="4" t="s">
        <v>47</v>
      </c>
      <c r="C7" s="2">
        <v>1771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CDE06-F276-4AB9-9FFC-D4079F7C7AAC}">
  <dimension ref="A1:B4"/>
  <sheetViews>
    <sheetView workbookViewId="0">
      <selection activeCell="B2" sqref="B2"/>
    </sheetView>
  </sheetViews>
  <sheetFormatPr defaultRowHeight="15" x14ac:dyDescent="0.25"/>
  <cols>
    <col min="1" max="1" width="13.42578125" bestFit="1" customWidth="1"/>
    <col min="2" max="2" width="20.28515625" bestFit="1" customWidth="1"/>
  </cols>
  <sheetData>
    <row r="1" spans="1:2" x14ac:dyDescent="0.25">
      <c r="A1" s="3" t="s">
        <v>46</v>
      </c>
      <c r="B1" t="s">
        <v>44</v>
      </c>
    </row>
    <row r="2" spans="1:2" x14ac:dyDescent="0.25">
      <c r="A2" s="4" t="s">
        <v>1</v>
      </c>
      <c r="B2" s="2">
        <v>135392</v>
      </c>
    </row>
    <row r="3" spans="1:2" x14ac:dyDescent="0.25">
      <c r="A3" s="4" t="s">
        <v>14</v>
      </c>
      <c r="B3" s="2">
        <v>135208</v>
      </c>
    </row>
    <row r="4" spans="1:2" x14ac:dyDescent="0.25">
      <c r="A4" s="4" t="s">
        <v>47</v>
      </c>
      <c r="B4" s="2">
        <v>270600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7DD46-AFE9-4145-96C1-B001F2617447}">
  <dimension ref="B6:C10"/>
  <sheetViews>
    <sheetView workbookViewId="0">
      <selection activeCell="M16" sqref="M16"/>
    </sheetView>
  </sheetViews>
  <sheetFormatPr defaultRowHeight="15" x14ac:dyDescent="0.25"/>
  <cols>
    <col min="2" max="2" width="13.42578125" bestFit="1" customWidth="1"/>
    <col min="3" max="3" width="20.28515625" bestFit="1" customWidth="1"/>
  </cols>
  <sheetData>
    <row r="6" spans="2:3" x14ac:dyDescent="0.25">
      <c r="B6" s="3" t="s">
        <v>46</v>
      </c>
      <c r="C6" t="s">
        <v>44</v>
      </c>
    </row>
    <row r="7" spans="2:3" x14ac:dyDescent="0.25">
      <c r="B7" s="4" t="s">
        <v>13</v>
      </c>
      <c r="C7" s="2">
        <v>81559</v>
      </c>
    </row>
    <row r="8" spans="2:3" x14ac:dyDescent="0.25">
      <c r="B8" s="4" t="s">
        <v>7</v>
      </c>
      <c r="C8" s="2">
        <v>92456</v>
      </c>
    </row>
    <row r="9" spans="2:3" x14ac:dyDescent="0.25">
      <c r="B9" s="4" t="s">
        <v>0</v>
      </c>
      <c r="C9" s="2">
        <v>96585</v>
      </c>
    </row>
    <row r="10" spans="2:3" x14ac:dyDescent="0.25">
      <c r="B10" s="4" t="s">
        <v>47</v>
      </c>
      <c r="C10" s="2">
        <v>270600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9A643-766E-4646-8A24-6BAD5D92C163}">
  <dimension ref="A1:B5"/>
  <sheetViews>
    <sheetView workbookViewId="0">
      <selection sqref="A1:B5"/>
    </sheetView>
  </sheetViews>
  <sheetFormatPr defaultRowHeight="15" x14ac:dyDescent="0.25"/>
  <cols>
    <col min="1" max="1" width="13.42578125" bestFit="1" customWidth="1"/>
    <col min="2" max="2" width="20.28515625" bestFit="1" customWidth="1"/>
  </cols>
  <sheetData>
    <row r="1" spans="1:2" x14ac:dyDescent="0.25">
      <c r="A1" s="3" t="s">
        <v>46</v>
      </c>
      <c r="B1" t="s">
        <v>44</v>
      </c>
    </row>
    <row r="2" spans="1:2" x14ac:dyDescent="0.25">
      <c r="A2" s="4" t="s">
        <v>30</v>
      </c>
      <c r="B2" s="2">
        <v>108417</v>
      </c>
    </row>
    <row r="3" spans="1:2" x14ac:dyDescent="0.25">
      <c r="A3" s="4" t="s">
        <v>6</v>
      </c>
      <c r="B3" s="2">
        <v>86552</v>
      </c>
    </row>
    <row r="4" spans="1:2" x14ac:dyDescent="0.25">
      <c r="A4" s="4" t="s">
        <v>31</v>
      </c>
      <c r="B4" s="2">
        <v>75631</v>
      </c>
    </row>
    <row r="5" spans="1:2" x14ac:dyDescent="0.25">
      <c r="A5" s="4" t="s">
        <v>47</v>
      </c>
      <c r="B5" s="2">
        <v>270600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7E7F3-99BF-4484-8119-889ABE20330A}">
  <dimension ref="A1:B7"/>
  <sheetViews>
    <sheetView workbookViewId="0">
      <selection sqref="A1:B7"/>
    </sheetView>
  </sheetViews>
  <sheetFormatPr defaultRowHeight="15" x14ac:dyDescent="0.25"/>
  <cols>
    <col min="1" max="1" width="13.42578125" bestFit="1" customWidth="1"/>
    <col min="2" max="2" width="20.140625" bestFit="1" customWidth="1"/>
  </cols>
  <sheetData>
    <row r="1" spans="1:2" x14ac:dyDescent="0.25">
      <c r="A1" s="3" t="s">
        <v>46</v>
      </c>
      <c r="B1" t="s">
        <v>45</v>
      </c>
    </row>
    <row r="2" spans="1:2" x14ac:dyDescent="0.25">
      <c r="A2" s="4" t="s">
        <v>22</v>
      </c>
      <c r="B2" s="2">
        <v>360</v>
      </c>
    </row>
    <row r="3" spans="1:2" x14ac:dyDescent="0.25">
      <c r="A3" s="4" t="s">
        <v>17</v>
      </c>
      <c r="B3" s="2">
        <v>393</v>
      </c>
    </row>
    <row r="4" spans="1:2" x14ac:dyDescent="0.25">
      <c r="A4" s="4" t="s">
        <v>26</v>
      </c>
      <c r="B4" s="2">
        <v>339</v>
      </c>
    </row>
    <row r="5" spans="1:2" x14ac:dyDescent="0.25">
      <c r="A5" s="4" t="s">
        <v>11</v>
      </c>
      <c r="B5" s="2">
        <v>331</v>
      </c>
    </row>
    <row r="6" spans="1:2" x14ac:dyDescent="0.25">
      <c r="A6" s="4" t="s">
        <v>5</v>
      </c>
      <c r="B6" s="2">
        <v>348</v>
      </c>
    </row>
    <row r="7" spans="1:2" x14ac:dyDescent="0.25">
      <c r="A7" s="4" t="s">
        <v>47</v>
      </c>
      <c r="B7" s="2">
        <v>1771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51C67-3122-480D-B6FE-82B5ED20268A}">
  <dimension ref="A1:B7"/>
  <sheetViews>
    <sheetView workbookViewId="0">
      <selection activeCell="L17" sqref="L17"/>
    </sheetView>
  </sheetViews>
  <sheetFormatPr defaultRowHeight="15" x14ac:dyDescent="0.25"/>
  <cols>
    <col min="1" max="1" width="13.42578125" bestFit="1" customWidth="1"/>
    <col min="2" max="2" width="20.140625" bestFit="1" customWidth="1"/>
  </cols>
  <sheetData>
    <row r="1" spans="1:2" x14ac:dyDescent="0.25">
      <c r="A1" s="3" t="s">
        <v>46</v>
      </c>
      <c r="B1" t="s">
        <v>45</v>
      </c>
    </row>
    <row r="2" spans="1:2" x14ac:dyDescent="0.25">
      <c r="A2" s="4" t="s">
        <v>16</v>
      </c>
      <c r="B2" s="2">
        <v>413</v>
      </c>
    </row>
    <row r="3" spans="1:2" x14ac:dyDescent="0.25">
      <c r="A3" s="4" t="s">
        <v>24</v>
      </c>
      <c r="B3" s="2">
        <v>367</v>
      </c>
    </row>
    <row r="4" spans="1:2" x14ac:dyDescent="0.25">
      <c r="A4" s="4" t="s">
        <v>21</v>
      </c>
      <c r="B4" s="2">
        <v>327</v>
      </c>
    </row>
    <row r="5" spans="1:2" x14ac:dyDescent="0.25">
      <c r="A5" s="4" t="s">
        <v>10</v>
      </c>
      <c r="B5" s="2">
        <v>342</v>
      </c>
    </row>
    <row r="6" spans="1:2" x14ac:dyDescent="0.25">
      <c r="A6" s="4" t="s">
        <v>4</v>
      </c>
      <c r="B6" s="2">
        <v>322</v>
      </c>
    </row>
    <row r="7" spans="1:2" x14ac:dyDescent="0.25">
      <c r="A7" s="4" t="s">
        <v>47</v>
      </c>
      <c r="B7" s="2">
        <v>1771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B24A9-AD54-4B69-AB8C-E9E96CA9014B}">
  <dimension ref="A1"/>
  <sheetViews>
    <sheetView tabSelected="1" topLeftCell="B1" zoomScale="80" zoomScaleNormal="80" workbookViewId="0">
      <selection activeCell="AC15" sqref="AC15:AC23"/>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Sheet1</vt:lpstr>
      <vt:lpstr>Sheet2</vt:lpstr>
      <vt:lpstr>no 1</vt:lpstr>
      <vt:lpstr>no 2</vt:lpstr>
      <vt:lpstr>no 3</vt:lpstr>
      <vt:lpstr>no 4</vt:lpstr>
      <vt:lpstr>no 5</vt:lpstr>
      <vt:lpstr>no 6</vt:lpstr>
      <vt:lpstr>Sheet13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2026-01-03T10:00:53Z</dcterms:created>
  <dcterms:modified xsi:type="dcterms:W3CDTF">2026-01-07T10:50:10Z</dcterms:modified>
</cp:coreProperties>
</file>